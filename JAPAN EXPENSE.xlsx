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315" documentId="8_{8DD0C82D-92A8-469F-8A5F-7373CA3C28E6}" xr6:coauthVersionLast="47" xr6:coauthVersionMax="47" xr10:uidLastSave="{06E28EDE-50CA-4AE2-8124-1A3F23CBDC29}"/>
  <bookViews>
    <workbookView xWindow="-108" yWindow="-108" windowWidth="23256" windowHeight="1389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9" i="1" l="1"/>
  <c r="U12" i="1" s="1"/>
  <c r="K79" i="1"/>
  <c r="T9" i="1"/>
  <c r="V15" i="1"/>
  <c r="U15" i="1"/>
  <c r="T15" i="1"/>
  <c r="L95" i="1"/>
  <c r="L93" i="1"/>
  <c r="L91" i="1"/>
  <c r="K95" i="1"/>
  <c r="E95" i="1"/>
  <c r="K93" i="1"/>
  <c r="E93" i="1"/>
  <c r="K91" i="1"/>
  <c r="E91" i="1"/>
  <c r="T12" i="1"/>
  <c r="S12" i="1"/>
  <c r="L86" i="1"/>
  <c r="K86" i="1"/>
  <c r="E90" i="1"/>
  <c r="E87" i="1"/>
  <c r="E85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D33" i="1"/>
  <c r="L31" i="1" s="1"/>
  <c r="D32" i="1"/>
  <c r="E33" i="1" s="1"/>
  <c r="L29" i="1"/>
  <c r="K29" i="1"/>
  <c r="L26" i="1"/>
  <c r="K26" i="1"/>
  <c r="K24" i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9" i="1" l="1"/>
  <c r="E82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<sst xmlns="http://schemas.openxmlformats.org/spreadsheetml/2006/main" count="115" uniqueCount="88">
  <si>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</si>
  <si>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</si>
  <si>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</si>
  <si>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</si>
  <si>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</si>
  <si>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</si>
  <si>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</si>
  <si>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</si>
  <si>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</si>
  <si>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</si>
  <si>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</si>
  <si>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</si>
  <si>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</si>
  <si>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</si>
  <si>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</si>
  <si>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</si>
  <si>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</si>
  <si>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</si>
  <si>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 xml:space="preserve">ONITSUKA TIGER 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</si>
  <si>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</si>
  <si>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</si>
  <si>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</si>
  <si>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</si>
  <si>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</si>
  <si>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</si>
  <si>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</si>
  <si>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</si>
  <si>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</si>
  <si>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</si>
  <si>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</si>
  <si>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</si>
  <si>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</si>
  <si>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</si>
  <si>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</si>
  <si>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Kape 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</si>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</sst>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96"/>
  <sheetViews>
    <sheetView showGridLines="0" tabSelected="1" topLeftCell="A69" workbookViewId="0">
      <selection activeCell="P85" sqref="P85"/>
    </sheetView>
  </sheetViews>
  <sheetFormatPr defaultRowHeight="14.4" x14ac:dyDescent="0.3"/>
  <cols>
    <col min="2" max="2" width="8.88671875" style="11"/>
    <col min="3" max="3" width="31.109375" customWidth="1"/>
    <col min="4" max="5" width="10.44140625" style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1.44140625" bestFit="1" customWidth="1"/>
    <col min="20" max="21" width="10.44140625" bestFit="1" customWidth="1"/>
    <col min="22" max="22" width="9.44140625" bestFit="1" customWidth="1"/>
  </cols>
  <sheetData>
    <row r="1" spans="2:23" x14ac:dyDescent="0.3">
      <c r="B1" s="10" t="s">
        <v>9</v>
      </c>
      <c r="C1" s="10" t="s">
        <v>87</v>
      </c>
      <c r="D1" s="12" t="s">
        <v>47</v>
      </c>
      <c r="E1" s="12" t="s">
        <v>48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3" x14ac:dyDescent="0.3">
      <c r="B2" s="22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3" x14ac:dyDescent="0.3">
      <c r="B3" s="22"/>
      <c r="C3" s="8" t="s">
        <v>32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3" x14ac:dyDescent="0.3">
      <c r="B4" s="22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3" x14ac:dyDescent="0.3">
      <c r="B5" s="22"/>
      <c r="C5" s="8" t="s">
        <v>32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3" x14ac:dyDescent="0.3">
      <c r="B6" s="22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3" x14ac:dyDescent="0.3">
      <c r="B7" s="22"/>
      <c r="C7" s="8" t="s">
        <v>39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3" x14ac:dyDescent="0.3">
      <c r="B8" s="22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14" t="s">
        <v>76</v>
      </c>
      <c r="T8" s="2" t="s">
        <v>77</v>
      </c>
      <c r="U8" s="2" t="s">
        <v>2</v>
      </c>
      <c r="V8" s="2" t="s">
        <v>78</v>
      </c>
      <c r="W8" s="2" t="s">
        <v>4</v>
      </c>
    </row>
    <row r="9" spans="2:23" x14ac:dyDescent="0.3">
      <c r="B9" s="22"/>
      <c r="C9" s="8" t="s">
        <v>39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15"/>
      <c r="T9" s="3">
        <f>SUM(K2:K96)</f>
        <v>78934.909999999974</v>
      </c>
      <c r="U9" s="3">
        <f>SUM(L2:L96)</f>
        <v>65613.739999999991</v>
      </c>
      <c r="V9" s="4"/>
      <c r="W9" s="4"/>
    </row>
    <row r="10" spans="2:23" x14ac:dyDescent="0.3">
      <c r="B10" s="22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16"/>
      <c r="T10" s="17"/>
      <c r="U10" s="17"/>
      <c r="V10" s="17"/>
      <c r="W10" s="18"/>
    </row>
    <row r="11" spans="2:23" x14ac:dyDescent="0.3">
      <c r="B11" s="22"/>
      <c r="C11" s="4"/>
      <c r="D11" s="7">
        <f>256*4</f>
        <v>1024</v>
      </c>
      <c r="E11" s="7"/>
      <c r="F11" s="4"/>
      <c r="G11" s="4"/>
      <c r="H11" s="4"/>
      <c r="I11" s="4"/>
      <c r="J11" s="4"/>
      <c r="K11" s="7"/>
      <c r="L11" s="7"/>
      <c r="M11" s="7"/>
      <c r="N11" s="7"/>
      <c r="S11" s="10" t="s">
        <v>80</v>
      </c>
      <c r="T11" s="2" t="s">
        <v>79</v>
      </c>
      <c r="U11" s="2" t="s">
        <v>63</v>
      </c>
      <c r="V11" s="2" t="s">
        <v>78</v>
      </c>
      <c r="W11" s="2" t="s">
        <v>4</v>
      </c>
    </row>
    <row r="12" spans="2:23" x14ac:dyDescent="0.3">
      <c r="B12" s="22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SUM(D13,D17,D18,D20,D22,D23,D25,D27,D28,D30,D32,D33,D35,D36,D37,D39,D41,D43,D44,D45,D49,D47,D50,D51,D52,D54,D56,D57,D59,D61,D63,D64,D66,D70,D71,D73,D74,D76,D78,D80,D81,D82,D85,D87,D89,D90)</f>
        <v>58593.979999999996</v>
      </c>
      <c r="T12" s="3">
        <f>SUM(K12,K19,K21,K24,K26,K29,K31,K34,K38,K40,K42,K46,K49,K53,K55,K58,K60,K62,K65,K69,K72,K75,K77,K79,K80,K84,K88,K86,K16)</f>
        <v>35468.904999999999</v>
      </c>
      <c r="U12" s="3">
        <f>SUM(L12,L16,L21,L26,L29,L31,L34,L38,L42,L46,L49,L55,L60,L62,L69,L72,L75,L79,L80,L84,L88,L86)</f>
        <v>22147.735000000001</v>
      </c>
      <c r="V12" s="3">
        <f>SUM(M49)</f>
        <v>262.42500000000001</v>
      </c>
      <c r="W12" s="3">
        <f>SUM(N34,N42,N49)</f>
        <v>714.91500000000008</v>
      </c>
    </row>
    <row r="13" spans="2:23" x14ac:dyDescent="0.3">
      <c r="B13" s="22"/>
      <c r="C13" s="8" t="s">
        <v>32</v>
      </c>
      <c r="D13" s="7">
        <v>680</v>
      </c>
      <c r="E13" s="7"/>
      <c r="F13" s="4"/>
      <c r="G13" s="4"/>
      <c r="H13" s="4"/>
      <c r="I13" s="4"/>
      <c r="J13" s="4"/>
      <c r="K13" s="7"/>
      <c r="L13" s="7"/>
      <c r="M13" s="7"/>
      <c r="N13" s="7"/>
      <c r="S13" s="16"/>
      <c r="T13" s="17"/>
      <c r="U13" s="17"/>
      <c r="V13" s="17"/>
      <c r="W13" s="18"/>
    </row>
    <row r="14" spans="2:23" x14ac:dyDescent="0.3">
      <c r="B14" s="23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81</v>
      </c>
      <c r="T14" s="2" t="s">
        <v>79</v>
      </c>
      <c r="U14" s="2" t="s">
        <v>63</v>
      </c>
      <c r="V14" s="2" t="s">
        <v>3</v>
      </c>
      <c r="W14" s="2" t="s">
        <v>4</v>
      </c>
    </row>
    <row r="15" spans="2:23" x14ac:dyDescent="0.3">
      <c r="B15" s="23"/>
      <c r="C15" s="8" t="s">
        <v>30</v>
      </c>
      <c r="D15" s="7">
        <v>8459.75</v>
      </c>
      <c r="E15" s="7"/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3">
      <c r="B16" s="23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423.35</v>
      </c>
      <c r="M16" s="7"/>
      <c r="N16" s="7"/>
    </row>
    <row r="17" spans="2:14" x14ac:dyDescent="0.3">
      <c r="B17" s="23"/>
      <c r="C17" s="8" t="s">
        <v>37</v>
      </c>
      <c r="D17" s="7">
        <v>423.35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3">
      <c r="B18" s="23"/>
      <c r="C18" s="8" t="s">
        <v>38</v>
      </c>
      <c r="D18" s="7">
        <v>509.12</v>
      </c>
      <c r="E18" s="7"/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3">
      <c r="B19" s="23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3">
      <c r="B20" s="23"/>
      <c r="C20" s="8" t="s">
        <v>36</v>
      </c>
      <c r="D20" s="7">
        <v>3330.65</v>
      </c>
      <c r="E20" s="7"/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3">
      <c r="B21" s="23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3">
      <c r="B22" s="23"/>
      <c r="C22" s="8" t="s">
        <v>34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3">
      <c r="B23" s="23"/>
      <c r="C23" s="8" t="s">
        <v>35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3">
      <c r="B24" s="23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1331.86</v>
      </c>
      <c r="L24" s="7"/>
      <c r="M24" s="7"/>
      <c r="N24" s="7"/>
    </row>
    <row r="25" spans="2:14" x14ac:dyDescent="0.3">
      <c r="B25" s="23"/>
      <c r="C25" s="8" t="s">
        <v>33</v>
      </c>
      <c r="D25" s="7">
        <v>1331.86</v>
      </c>
      <c r="E25" s="7"/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3">
      <c r="B26" s="23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3">
      <c r="B27" s="23"/>
      <c r="C27" s="8" t="s">
        <v>30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3">
      <c r="B28" s="23"/>
      <c r="C28" s="8" t="s">
        <v>31</v>
      </c>
      <c r="D28" s="7">
        <v>414.87</v>
      </c>
      <c r="E28" s="7"/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3">
      <c r="B29" s="23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3">
      <c r="B30" s="23"/>
      <c r="C30" s="8" t="s">
        <v>32</v>
      </c>
      <c r="D30" s="7">
        <v>550.1</v>
      </c>
      <c r="E30" s="7"/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3">
      <c r="B31" s="23"/>
      <c r="C31" s="4" t="s">
        <v>18</v>
      </c>
      <c r="D31" s="7"/>
      <c r="E31" s="7"/>
      <c r="F31" s="4"/>
      <c r="G31" s="4"/>
      <c r="H31" s="4"/>
      <c r="I31" s="4"/>
      <c r="J31" s="4"/>
      <c r="K31" s="7">
        <f>D32</f>
        <v>6075.6</v>
      </c>
      <c r="L31" s="7">
        <f>D33</f>
        <v>6462.6</v>
      </c>
      <c r="M31" s="7"/>
      <c r="N31" s="7"/>
    </row>
    <row r="32" spans="2:14" x14ac:dyDescent="0.3">
      <c r="B32" s="23"/>
      <c r="C32" s="8" t="s">
        <v>30</v>
      </c>
      <c r="D32" s="7">
        <f>5801+274.6</f>
        <v>6075.6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3">
      <c r="B33" s="23"/>
      <c r="C33" s="8" t="s">
        <v>31</v>
      </c>
      <c r="D33" s="7">
        <f>6188+274.6</f>
        <v>6462.6</v>
      </c>
      <c r="E33" s="7">
        <f>SUM(D32:D33)</f>
        <v>12538.2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3">
      <c r="B34" s="23"/>
      <c r="C34" s="4" t="s">
        <v>19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3">
      <c r="B35" s="23"/>
      <c r="C35" s="8" t="s">
        <v>27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3">
      <c r="B36" s="23"/>
      <c r="C36" s="8" t="s">
        <v>28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3">
      <c r="B37" s="23"/>
      <c r="C37" s="8" t="s">
        <v>29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3">
      <c r="B38" s="24">
        <v>43221</v>
      </c>
      <c r="C38" s="4" t="s">
        <v>20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3">
      <c r="B39" s="24"/>
      <c r="C39" s="4"/>
      <c r="D39" s="7">
        <v>270.73</v>
      </c>
      <c r="E39" s="7"/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3">
      <c r="B40" s="25">
        <v>43586</v>
      </c>
      <c r="C40" s="4" t="s">
        <v>21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3">
      <c r="B41" s="25"/>
      <c r="C41" s="4"/>
      <c r="D41" s="7">
        <v>1129.3499999999999</v>
      </c>
      <c r="E41" s="7"/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3">
      <c r="B42" s="25"/>
      <c r="C42" s="4" t="s">
        <v>22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3">
      <c r="B43" s="25"/>
      <c r="C43" s="8" t="s">
        <v>26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3">
      <c r="B44" s="25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3">
      <c r="B45" s="25"/>
      <c r="C45" s="8" t="s">
        <v>4</v>
      </c>
      <c r="D45" s="7">
        <v>78</v>
      </c>
      <c r="E45" s="7"/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3">
      <c r="B46" s="25"/>
      <c r="C46" s="4" t="s">
        <v>23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3">
      <c r="B47" s="25"/>
      <c r="C47" s="8" t="s">
        <v>40</v>
      </c>
      <c r="D47" s="7">
        <v>942.04</v>
      </c>
      <c r="E47" s="7"/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3">
      <c r="B48" s="25"/>
      <c r="C48" s="4" t="s">
        <v>24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3">
      <c r="B49" s="25"/>
      <c r="C49" s="8" t="s">
        <v>41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3">
      <c r="B50" s="25"/>
      <c r="C50" s="8" t="s">
        <v>43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3">
      <c r="B51" s="25"/>
      <c r="C51" s="8" t="s">
        <v>42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3">
      <c r="B52" s="25"/>
      <c r="C52" s="8" t="s">
        <v>44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3">
      <c r="B53" s="25"/>
      <c r="C53" s="4" t="s">
        <v>25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3">
      <c r="B54" s="25"/>
      <c r="C54" s="8" t="s">
        <v>45</v>
      </c>
      <c r="D54" s="7">
        <v>197.99</v>
      </c>
      <c r="E54" s="7"/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3">
      <c r="B55" s="25"/>
      <c r="C55" s="9" t="s">
        <v>46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3">
      <c r="B56" s="25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3">
      <c r="B57" s="25"/>
      <c r="C57" s="8" t="s">
        <v>1</v>
      </c>
      <c r="D57" s="7">
        <v>6000.1</v>
      </c>
      <c r="E57" s="7">
        <v>12100.19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3">
      <c r="B58" s="26">
        <v>43952</v>
      </c>
      <c r="C58" s="9" t="s">
        <v>50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3">
      <c r="B59" s="26"/>
      <c r="C59" s="8" t="s">
        <v>49</v>
      </c>
      <c r="D59" s="7">
        <v>726.02</v>
      </c>
      <c r="E59" s="7"/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3">
      <c r="B60" s="26"/>
      <c r="C60" s="9" t="s">
        <v>50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3">
      <c r="B61" s="26"/>
      <c r="C61" s="8" t="s">
        <v>51</v>
      </c>
      <c r="D61" s="7">
        <v>1613.36</v>
      </c>
      <c r="E61" s="7"/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3">
      <c r="B62" s="26"/>
      <c r="C62" s="9" t="s">
        <v>52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3">
      <c r="B63" s="26"/>
      <c r="C63" s="8" t="s">
        <v>53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3">
      <c r="B64" s="26"/>
      <c r="C64" s="8" t="s">
        <v>54</v>
      </c>
      <c r="D64" s="7">
        <f>286+11.9</f>
        <v>297.89999999999998</v>
      </c>
      <c r="E64" s="7">
        <v>572.73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3">
      <c r="B65" s="19">
        <v>44317</v>
      </c>
      <c r="C65" s="9" t="s">
        <v>55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3">
      <c r="B66" s="19"/>
      <c r="C66" s="8" t="s">
        <v>56</v>
      </c>
      <c r="D66" s="7">
        <v>2196.59</v>
      </c>
      <c r="E66" s="7"/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3">
      <c r="B67" s="19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3">
      <c r="B68" s="19"/>
      <c r="C68" s="8" t="s">
        <v>57</v>
      </c>
      <c r="D68" s="7">
        <v>12428.31</v>
      </c>
      <c r="E68" s="7"/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3">
      <c r="B69" s="20">
        <v>44682</v>
      </c>
      <c r="C69" s="9" t="s">
        <v>58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3">
      <c r="B70" s="20"/>
      <c r="C70" s="8" t="s">
        <v>59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3">
      <c r="B71" s="20"/>
      <c r="C71" s="8" t="s">
        <v>60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3">
      <c r="B72" s="20"/>
      <c r="C72" s="9" t="s">
        <v>61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3">
      <c r="B73" s="20"/>
      <c r="C73" s="8" t="s">
        <v>62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3">
      <c r="B74" s="20"/>
      <c r="C74" s="8" t="s">
        <v>63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3">
      <c r="B75" s="20"/>
      <c r="C75" s="8" t="s">
        <v>64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3">
      <c r="B76" s="20"/>
      <c r="C76" s="8" t="s">
        <v>65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3">
      <c r="B77" s="20"/>
      <c r="C77" s="9" t="s">
        <v>66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3">
      <c r="B78" s="20"/>
      <c r="C78" s="8" t="s">
        <v>67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3">
      <c r="B79" s="21">
        <v>45047</v>
      </c>
      <c r="C79" s="9" t="s">
        <v>68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3">
      <c r="B80" s="21"/>
      <c r="C80" s="8" t="s">
        <v>69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3">
      <c r="B81" s="21"/>
      <c r="C81" s="8" t="s">
        <v>70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3">
      <c r="B82" s="21"/>
      <c r="C82" s="8" t="s">
        <v>71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3">
      <c r="B83" s="21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3">
      <c r="B84" s="21"/>
      <c r="C84" s="9" t="s">
        <v>72</v>
      </c>
      <c r="D84" s="7"/>
      <c r="E84" s="7"/>
      <c r="F84" s="4"/>
      <c r="G84" s="4"/>
      <c r="H84" s="4"/>
      <c r="I84" s="4"/>
      <c r="J84" s="4"/>
      <c r="K84" s="7">
        <f>D85/2</f>
        <v>273.56</v>
      </c>
      <c r="L84" s="7">
        <f>D85/2</f>
        <v>273.56</v>
      </c>
      <c r="M84" s="7"/>
      <c r="N84" s="7"/>
    </row>
    <row r="85" spans="2:14" x14ac:dyDescent="0.3">
      <c r="B85" s="21"/>
      <c r="C85" s="8" t="s">
        <v>32</v>
      </c>
      <c r="D85" s="7">
        <v>547.12</v>
      </c>
      <c r="E85" s="7">
        <f>D85</f>
        <v>547.12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3">
      <c r="B86" s="21"/>
      <c r="C86" s="9" t="s">
        <v>73</v>
      </c>
      <c r="D86" s="7"/>
      <c r="E86" s="7"/>
      <c r="F86" s="4"/>
      <c r="G86" s="4"/>
      <c r="H86" s="4"/>
      <c r="I86" s="4"/>
      <c r="J86" s="4"/>
      <c r="K86" s="7">
        <f>D87/2</f>
        <v>172</v>
      </c>
      <c r="L86" s="7">
        <f>D87/2</f>
        <v>172</v>
      </c>
      <c r="M86" s="7"/>
      <c r="N86" s="7"/>
    </row>
    <row r="87" spans="2:14" x14ac:dyDescent="0.3">
      <c r="B87" s="21"/>
      <c r="C87" s="8" t="s">
        <v>32</v>
      </c>
      <c r="D87" s="7">
        <v>344</v>
      </c>
      <c r="E87" s="7">
        <f>D87</f>
        <v>344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3">
      <c r="B88" s="21"/>
      <c r="C88" s="4" t="s">
        <v>74</v>
      </c>
      <c r="D88" s="7"/>
      <c r="E88" s="7"/>
      <c r="F88" s="4"/>
      <c r="G88" s="4"/>
      <c r="H88" s="4"/>
      <c r="I88" s="4"/>
      <c r="J88" s="4"/>
      <c r="K88" s="7">
        <f>D90</f>
        <v>259</v>
      </c>
      <c r="L88" s="7">
        <f>D89</f>
        <v>217</v>
      </c>
      <c r="M88" s="7"/>
      <c r="N88" s="7"/>
    </row>
    <row r="89" spans="2:14" x14ac:dyDescent="0.3">
      <c r="B89" s="21"/>
      <c r="C89" s="8" t="s">
        <v>70</v>
      </c>
      <c r="D89" s="7">
        <v>217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3">
      <c r="B90" s="21"/>
      <c r="C90" s="8" t="s">
        <v>75</v>
      </c>
      <c r="D90" s="7">
        <v>259</v>
      </c>
      <c r="E90" s="7">
        <f>SUM(D89:D90)</f>
        <v>476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3">
      <c r="B91" s="13" t="s">
        <v>82</v>
      </c>
      <c r="C91" s="9" t="s">
        <v>83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3">
      <c r="B92" s="13"/>
      <c r="C92" s="8" t="s">
        <v>84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3">
      <c r="B93" s="13"/>
      <c r="C93" s="9" t="s">
        <v>85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3">
      <c r="B94" s="13"/>
      <c r="C94" s="8" t="s">
        <v>84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3">
      <c r="B95" s="13"/>
      <c r="C95" s="9" t="s">
        <v>86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3">
      <c r="B96" s="13"/>
      <c r="C96" s="8" t="s">
        <v>84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</sheetData>
  <mergeCells count="12">
    <mergeCell ref="B91:B96"/>
    <mergeCell ref="S8:S9"/>
    <mergeCell ref="S10:W10"/>
    <mergeCell ref="S13:W13"/>
    <mergeCell ref="B65:B68"/>
    <mergeCell ref="B69:B78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2026-05-27T06:21:11Z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