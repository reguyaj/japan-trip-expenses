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399" documentId="8_{8DD0C82D-92A8-469F-8A5F-7373CA3C28E6}" xr6:coauthVersionLast="47" xr6:coauthVersionMax="47" xr10:uidLastSave="{FF4BAB16-8F77-4F51-9F4A-E2BF866DA3D7}"/>
  <bookViews>
    <workbookView xWindow="-120" yWindow="-120" windowWidth="29040" windowHeight="17520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0" i="1" l="1"/>
  <c r="S12" i="1"/>
  <c r="E68" i="1"/>
  <c r="E66" i="1"/>
  <c r="E61" i="1"/>
  <c r="E59" i="1"/>
  <c r="E54" i="1"/>
  <c r="E47" i="1"/>
  <c r="E45" i="1"/>
  <c r="E41" i="1"/>
  <c r="E39" i="1"/>
  <c r="E30" i="1"/>
  <c r="E28" i="1"/>
  <c r="E25" i="1"/>
  <c r="E20" i="1"/>
  <c r="E18" i="1"/>
  <c r="E15" i="1"/>
  <c r="E13" i="1"/>
  <c r="E11" i="1"/>
  <c r="E85" i="1"/>
  <c r="K101" i="1"/>
  <c r="L100" i="1"/>
  <c r="K100" i="1"/>
  <c r="D100" i="1"/>
  <c r="N99" i="1"/>
  <c r="M99" i="1"/>
  <c r="L99" i="1"/>
  <c r="K99" i="1"/>
  <c r="L98" i="1"/>
  <c r="K98" i="1"/>
  <c r="L97" i="1"/>
  <c r="K97" i="1"/>
  <c r="L79" i="1"/>
  <c r="K79" i="1"/>
  <c r="V15" i="1"/>
  <c r="U15" i="1"/>
  <c r="T15" i="1"/>
  <c r="L95" i="1"/>
  <c r="L93" i="1"/>
  <c r="L91" i="1"/>
  <c r="K95" i="1"/>
  <c r="E95" i="1"/>
  <c r="K93" i="1"/>
  <c r="E93" i="1"/>
  <c r="K91" i="1"/>
  <c r="E91" i="1"/>
  <c r="L86" i="1"/>
  <c r="U9" i="1" s="1"/>
  <c r="K86" i="1"/>
  <c r="E87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T12" i="1" s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D33" i="1"/>
  <c r="L31" i="1" s="1"/>
  <c r="D32" i="1"/>
  <c r="E33" i="1" s="1"/>
  <c r="L29" i="1"/>
  <c r="K29" i="1"/>
  <c r="L26" i="1"/>
  <c r="K26" i="1"/>
  <c r="K24" i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12" i="1" l="1"/>
  <c r="T9" i="1"/>
  <c r="E82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<sst xmlns="http://schemas.openxmlformats.org/spreadsheetml/2006/main" count="122" uniqueCount="95">
  <si>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</si>
  <si>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</si>
  <si>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</si>
  <si>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</si>
  <si>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</si>
  <si>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</si>
  <si>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</si>
  <si>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</si>
  <si>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</si>
  <si>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</si>
  <si>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</si>
  <si>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</si>
  <si>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</si>
  <si>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</si>
  <si>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</si>
  <si>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</si>
  <si>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</si>
  <si>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</si>
  <si>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 xml:space="preserve">ONITSUKA TIGER 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</si>
  <si>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</si>
  <si>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</si>
  <si>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</si>
  <si>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</si>
  <si>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</si>
  <si>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</si>
  <si>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</si>
  <si>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</si>
  <si>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</si>
  <si>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</si>
  <si>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</si>
  <si>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</si>
  <si>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</si>
  <si>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</si>
  <si>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</si>
  <si>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</si>
  <si>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</si>
  <si>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</si>
  <si>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</si>
  <si>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</si>
  <si>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</si>
  <si>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</si>
  <si>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</si>
  <si>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</si>
  <si>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</si>
  <si>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</si>
  <si>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</si>
  <si>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</si>
  <si>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</si>
  <si>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</si>
  <si>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</si>
  <si>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</si>
  <si>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</si>
  <si>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</si>
  <si>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</si>
  <si>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</si>
  <si>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</si>
  <si>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</si>
  <si>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</si>
  <si>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</si>
  <si>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</si>
  <si>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</si>
  <si>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</si>
  <si>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</si>
  <si>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</si>
  <si>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</si>
  <si>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</si>
  <si>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</si>
  <si>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</si>
  <si>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</si>
  <si>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</si>
  <si>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</si>
  <si>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</si>
  <si>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</si>
  <si>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</si>
  <si>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</si>
  <si>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</si>
  <si>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</si>
  <si>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</si>
  <si>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</si>
  <si>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</si>
  <si>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</si>
  <si>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</si>
  <si>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</si>
  <si>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</si>
  <si>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</si>
  <si>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</si>
  <si>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</si>
  <si>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</si>
  <si>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</si>
  <si>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</si>
  <si>
    <t xml:space="preserve">Travel INSURANCE </t>
  </si>
  <si>
    <t>Grab to airport and home</t>
  </si>
  <si>
    <t xml:space="preserve">Grab Home to Airport </t>
  </si>
  <si>
    <t>JAPAN VISA</t>
  </si>
  <si>
    <t xml:space="preserve">ClOTHES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</si>
</sst>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0" fontId="2" fillId="10" borderId="1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101"/>
  <sheetViews>
    <sheetView showGridLines="0" tabSelected="1" topLeftCell="A50" workbookViewId="0">
      <selection activeCell="S73" sqref="S73"/>
    </sheetView>
  </sheetViews>
  <sheetFormatPr defaultRowHeight="15" x14ac:dyDescent="0.25"/>
  <cols>
    <col min="2" max="2" width="8.85546875" style="11"/>
    <col min="3" max="3" width="31.140625" customWidth="1"/>
    <col min="4" max="5" width="10.7109375" style="1" bestFit="1" customWidth="1"/>
    <col min="6" max="10" width="8.85546875" hidden="1" customWidth="1"/>
    <col min="11" max="11" width="19.85546875" style="1" customWidth="1"/>
    <col min="12" max="12" width="21.7109375" style="1" customWidth="1"/>
    <col min="13" max="13" width="13" style="1" customWidth="1"/>
    <col min="14" max="14" width="15.5703125" style="1" customWidth="1"/>
    <col min="19" max="19" width="23.85546875" bestFit="1" customWidth="1"/>
    <col min="20" max="21" width="10.7109375" bestFit="1" customWidth="1"/>
    <col min="22" max="22" width="9.7109375" bestFit="1" customWidth="1"/>
    <col min="23" max="23" width="8.140625" bestFit="1" customWidth="1"/>
  </cols>
  <sheetData>
    <row r="1" spans="2:23" x14ac:dyDescent="0.25">
      <c r="B1" s="10" t="s">
        <v>9</v>
      </c>
      <c r="C1" s="10" t="s">
        <v>86</v>
      </c>
      <c r="D1" s="12" t="s">
        <v>46</v>
      </c>
      <c r="E1" s="12" t="s">
        <v>47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3" x14ac:dyDescent="0.25">
      <c r="B2" s="16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3" x14ac:dyDescent="0.25">
      <c r="B3" s="16"/>
      <c r="C3" s="8" t="s">
        <v>32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3" x14ac:dyDescent="0.25">
      <c r="B4" s="16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3" x14ac:dyDescent="0.25">
      <c r="B5" s="16"/>
      <c r="C5" s="8" t="s">
        <v>32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3" x14ac:dyDescent="0.25">
      <c r="B6" s="16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3" x14ac:dyDescent="0.25">
      <c r="B7" s="16"/>
      <c r="C7" s="8" t="s">
        <v>38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3" x14ac:dyDescent="0.25">
      <c r="B8" s="16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21" t="s">
        <v>75</v>
      </c>
      <c r="T8" s="2" t="s">
        <v>76</v>
      </c>
      <c r="U8" s="2" t="s">
        <v>2</v>
      </c>
      <c r="V8" s="2" t="s">
        <v>77</v>
      </c>
      <c r="W8" s="2" t="s">
        <v>4</v>
      </c>
    </row>
    <row r="9" spans="2:23" x14ac:dyDescent="0.25">
      <c r="B9" s="16"/>
      <c r="C9" s="8" t="s">
        <v>38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22"/>
      <c r="T9" s="3">
        <f>SUM(K2:K101)</f>
        <v>92537.14499999999</v>
      </c>
      <c r="U9" s="3">
        <f>SUM(L2:L100)</f>
        <v>71543.004999999976</v>
      </c>
      <c r="V9" s="4"/>
      <c r="W9" s="4"/>
    </row>
    <row r="10" spans="2:23" x14ac:dyDescent="0.25">
      <c r="B10" s="16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23"/>
      <c r="T10" s="24"/>
      <c r="U10" s="24"/>
      <c r="V10" s="24"/>
      <c r="W10" s="25"/>
    </row>
    <row r="11" spans="2:23" x14ac:dyDescent="0.25">
      <c r="B11" s="16"/>
      <c r="C11" s="4"/>
      <c r="D11" s="7">
        <f>256*4</f>
        <v>1024</v>
      </c>
      <c r="E11" s="7">
        <f>D11</f>
        <v>1024</v>
      </c>
      <c r="F11" s="4"/>
      <c r="G11" s="4"/>
      <c r="H11" s="4"/>
      <c r="I11" s="4"/>
      <c r="J11" s="4"/>
      <c r="K11" s="7"/>
      <c r="L11" s="7"/>
      <c r="M11" s="7"/>
      <c r="N11" s="7"/>
      <c r="S11" s="10" t="s">
        <v>79</v>
      </c>
      <c r="T11" s="2" t="s">
        <v>78</v>
      </c>
      <c r="U11" s="2" t="s">
        <v>62</v>
      </c>
      <c r="V11" s="2" t="s">
        <v>77</v>
      </c>
      <c r="W11" s="2" t="s">
        <v>4</v>
      </c>
    </row>
    <row r="12" spans="2:23" x14ac:dyDescent="0.25">
      <c r="B12" s="16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SUM(D13,D17,D18,D20,D22,D23,D25,D27,D28,D30,D32,D33,D35,D36,D37,D39,D41,D43,D44,D45,D49,D47,D50,D51,D52,D54,D56,D57,D59,D61,D63,D64,D66,D70,D71,D73,D74,D76,D78,D80,D81,D82,D85,D87,D89,D90)</f>
        <v>58626.479999999996</v>
      </c>
      <c r="T12" s="3">
        <f>SUM(K12,K19,K21,K24,K26,K29,K31,K34,K38,K40,K42,K46,K49,K53,K55,K58,K60,K62,K65,K69,K72,K75,K77,K79,K80,K84,K88,K86,K16)</f>
        <v>35485.14</v>
      </c>
      <c r="U12" s="3">
        <f>SUM(L12,L16,L21,L26,L29,L31,L34,L38,L42,L46,L49,L55,L60,L62,L69,L72,L75,L79,L80,L84,L88,L86)</f>
        <v>22164</v>
      </c>
      <c r="V12" s="3">
        <f>SUM(M49)</f>
        <v>262.42500000000001</v>
      </c>
      <c r="W12" s="3">
        <f>SUM(N34,N42,N49)</f>
        <v>714.91500000000008</v>
      </c>
    </row>
    <row r="13" spans="2:23" x14ac:dyDescent="0.25">
      <c r="B13" s="16"/>
      <c r="C13" s="8" t="s">
        <v>32</v>
      </c>
      <c r="D13" s="7">
        <v>680</v>
      </c>
      <c r="E13" s="7">
        <f>D13</f>
        <v>680</v>
      </c>
      <c r="F13" s="4"/>
      <c r="G13" s="4"/>
      <c r="H13" s="4"/>
      <c r="I13" s="4"/>
      <c r="J13" s="4"/>
      <c r="K13" s="7"/>
      <c r="L13" s="7"/>
      <c r="M13" s="7"/>
      <c r="N13" s="7"/>
      <c r="S13" s="23"/>
      <c r="T13" s="24"/>
      <c r="U13" s="24"/>
      <c r="V13" s="24"/>
      <c r="W13" s="25"/>
    </row>
    <row r="14" spans="2:23" x14ac:dyDescent="0.25">
      <c r="B14" s="17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80</v>
      </c>
      <c r="T14" s="2" t="s">
        <v>78</v>
      </c>
      <c r="U14" s="2" t="s">
        <v>62</v>
      </c>
      <c r="V14" s="2" t="s">
        <v>3</v>
      </c>
      <c r="W14" s="2" t="s">
        <v>4</v>
      </c>
    </row>
    <row r="15" spans="2:23" x14ac:dyDescent="0.25">
      <c r="B15" s="17"/>
      <c r="C15" s="8" t="s">
        <v>30</v>
      </c>
      <c r="D15" s="7">
        <v>8459.75</v>
      </c>
      <c r="E15" s="7">
        <f>D15</f>
        <v>8459.75</v>
      </c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25">
      <c r="B16" s="17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423.35</v>
      </c>
      <c r="M16" s="7"/>
      <c r="N16" s="7"/>
    </row>
    <row r="17" spans="2:14" x14ac:dyDescent="0.25">
      <c r="B17" s="17"/>
      <c r="C17" s="8" t="s">
        <v>36</v>
      </c>
      <c r="D17" s="7">
        <v>423.35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25">
      <c r="B18" s="17"/>
      <c r="C18" s="8" t="s">
        <v>37</v>
      </c>
      <c r="D18" s="7">
        <v>509.12</v>
      </c>
      <c r="E18" s="7">
        <f>SUM(D17:D18)</f>
        <v>932.47</v>
      </c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25">
      <c r="B19" s="17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25">
      <c r="B20" s="17"/>
      <c r="C20" s="8" t="s">
        <v>35</v>
      </c>
      <c r="D20" s="7">
        <v>3330.65</v>
      </c>
      <c r="E20" s="7">
        <f>D20</f>
        <v>3330.65</v>
      </c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25">
      <c r="B21" s="17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25">
      <c r="B22" s="17"/>
      <c r="C22" s="8" t="s">
        <v>89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25">
      <c r="B23" s="17"/>
      <c r="C23" s="8" t="s">
        <v>34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25">
      <c r="B24" s="17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1331.86</v>
      </c>
      <c r="L24" s="7"/>
      <c r="M24" s="7"/>
      <c r="N24" s="7"/>
    </row>
    <row r="25" spans="2:14" x14ac:dyDescent="0.25">
      <c r="B25" s="17"/>
      <c r="C25" s="8" t="s">
        <v>33</v>
      </c>
      <c r="D25" s="7">
        <v>1331.86</v>
      </c>
      <c r="E25" s="7">
        <f>D25</f>
        <v>1331.86</v>
      </c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25">
      <c r="B26" s="17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25">
      <c r="B27" s="17"/>
      <c r="C27" s="8" t="s">
        <v>30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25">
      <c r="B28" s="17"/>
      <c r="C28" s="8" t="s">
        <v>31</v>
      </c>
      <c r="D28" s="7">
        <v>414.87</v>
      </c>
      <c r="E28" s="7">
        <f>SUM(D27:D28)</f>
        <v>1000.62</v>
      </c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25">
      <c r="B29" s="17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25">
      <c r="B30" s="17"/>
      <c r="C30" s="8" t="s">
        <v>32</v>
      </c>
      <c r="D30" s="7">
        <v>550.1</v>
      </c>
      <c r="E30" s="7">
        <f>D30</f>
        <v>550.1</v>
      </c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25">
      <c r="B31" s="17"/>
      <c r="C31" s="4" t="s">
        <v>18</v>
      </c>
      <c r="D31" s="7"/>
      <c r="E31" s="7"/>
      <c r="F31" s="4"/>
      <c r="G31" s="4"/>
      <c r="H31" s="4"/>
      <c r="I31" s="4"/>
      <c r="J31" s="4"/>
      <c r="K31" s="7">
        <f>D32</f>
        <v>6075.6</v>
      </c>
      <c r="L31" s="7">
        <f>D33</f>
        <v>6462.6</v>
      </c>
      <c r="M31" s="7"/>
      <c r="N31" s="7"/>
    </row>
    <row r="32" spans="2:14" x14ac:dyDescent="0.25">
      <c r="B32" s="17"/>
      <c r="C32" s="8" t="s">
        <v>30</v>
      </c>
      <c r="D32" s="7">
        <f>5801+274.6</f>
        <v>6075.6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25">
      <c r="B33" s="17"/>
      <c r="C33" s="8" t="s">
        <v>31</v>
      </c>
      <c r="D33" s="7">
        <f>6188+274.6</f>
        <v>6462.6</v>
      </c>
      <c r="E33" s="7">
        <f>SUM(D32:D33)</f>
        <v>12538.2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25">
      <c r="B34" s="17"/>
      <c r="C34" s="4" t="s">
        <v>19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25">
      <c r="B35" s="17"/>
      <c r="C35" s="8" t="s">
        <v>27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25">
      <c r="B36" s="17"/>
      <c r="C36" s="8" t="s">
        <v>28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25">
      <c r="B37" s="17"/>
      <c r="C37" s="8" t="s">
        <v>29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25">
      <c r="B38" s="18">
        <v>43221</v>
      </c>
      <c r="C38" s="4" t="s">
        <v>20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25">
      <c r="B39" s="18"/>
      <c r="C39" s="8" t="s">
        <v>87</v>
      </c>
      <c r="D39" s="7">
        <v>270.73</v>
      </c>
      <c r="E39" s="7">
        <f>D39</f>
        <v>270.73</v>
      </c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25">
      <c r="B40" s="19">
        <v>43586</v>
      </c>
      <c r="C40" s="4" t="s">
        <v>21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25">
      <c r="B41" s="19"/>
      <c r="C41" s="8" t="s">
        <v>88</v>
      </c>
      <c r="D41" s="7">
        <v>1129.3499999999999</v>
      </c>
      <c r="E41" s="7">
        <f>D41</f>
        <v>1129.3499999999999</v>
      </c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25">
      <c r="B42" s="19"/>
      <c r="C42" s="4" t="s">
        <v>22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25">
      <c r="B43" s="19"/>
      <c r="C43" s="8" t="s">
        <v>26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25">
      <c r="B44" s="19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25">
      <c r="B45" s="19"/>
      <c r="C45" s="8" t="s">
        <v>4</v>
      </c>
      <c r="D45" s="7">
        <v>78</v>
      </c>
      <c r="E45" s="7">
        <f>SUM(D43:D45)</f>
        <v>1695.6399999999999</v>
      </c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25">
      <c r="B46" s="19"/>
      <c r="C46" s="4" t="s">
        <v>23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25">
      <c r="B47" s="19"/>
      <c r="C47" s="8" t="s">
        <v>39</v>
      </c>
      <c r="D47" s="7">
        <v>942.04</v>
      </c>
      <c r="E47" s="7">
        <f>SUM(D47)</f>
        <v>942.04</v>
      </c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25">
      <c r="B48" s="19"/>
      <c r="C48" s="4" t="s">
        <v>24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25">
      <c r="B49" s="19"/>
      <c r="C49" s="8" t="s">
        <v>40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25">
      <c r="B50" s="19"/>
      <c r="C50" s="8" t="s">
        <v>42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25">
      <c r="B51" s="19"/>
      <c r="C51" s="8" t="s">
        <v>41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25">
      <c r="B52" s="19"/>
      <c r="C52" s="8" t="s">
        <v>43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25">
      <c r="B53" s="19"/>
      <c r="C53" s="4" t="s">
        <v>25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25">
      <c r="B54" s="19"/>
      <c r="C54" s="8" t="s">
        <v>44</v>
      </c>
      <c r="D54" s="7">
        <v>197.99</v>
      </c>
      <c r="E54" s="7">
        <f>D54</f>
        <v>197.99</v>
      </c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25">
      <c r="B55" s="19"/>
      <c r="C55" s="9" t="s">
        <v>45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25">
      <c r="B56" s="19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25">
      <c r="B57" s="19"/>
      <c r="C57" s="8" t="s">
        <v>1</v>
      </c>
      <c r="D57" s="7">
        <v>6000.1</v>
      </c>
      <c r="E57" s="7">
        <v>12100.19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25">
      <c r="B58" s="20">
        <v>43952</v>
      </c>
      <c r="C58" s="9" t="s">
        <v>49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25">
      <c r="B59" s="20"/>
      <c r="C59" s="8" t="s">
        <v>48</v>
      </c>
      <c r="D59" s="7">
        <v>726.02</v>
      </c>
      <c r="E59" s="7">
        <f>D59</f>
        <v>726.02</v>
      </c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25">
      <c r="B60" s="20"/>
      <c r="C60" s="9" t="s">
        <v>49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25">
      <c r="B61" s="20"/>
      <c r="C61" s="8" t="s">
        <v>50</v>
      </c>
      <c r="D61" s="7">
        <v>1613.36</v>
      </c>
      <c r="E61" s="7">
        <f>D61</f>
        <v>1613.36</v>
      </c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25">
      <c r="B62" s="20"/>
      <c r="C62" s="9" t="s">
        <v>51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25">
      <c r="B63" s="20"/>
      <c r="C63" s="8" t="s">
        <v>52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25">
      <c r="B64" s="20"/>
      <c r="C64" s="8" t="s">
        <v>53</v>
      </c>
      <c r="D64" s="7">
        <f>286+11.9</f>
        <v>297.89999999999998</v>
      </c>
      <c r="E64" s="7">
        <v>572.73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25">
      <c r="B65" s="26">
        <v>44317</v>
      </c>
      <c r="C65" s="9" t="s">
        <v>54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25">
      <c r="B66" s="26"/>
      <c r="C66" s="8" t="s">
        <v>55</v>
      </c>
      <c r="D66" s="7">
        <v>2196.59</v>
      </c>
      <c r="E66" s="7">
        <f>D66</f>
        <v>2196.59</v>
      </c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25">
      <c r="B67" s="26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25">
      <c r="B68" s="26"/>
      <c r="C68" s="8" t="s">
        <v>56</v>
      </c>
      <c r="D68" s="7">
        <v>12428.31</v>
      </c>
      <c r="E68" s="7">
        <f>D68</f>
        <v>12428.31</v>
      </c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25">
      <c r="B69" s="27">
        <v>44682</v>
      </c>
      <c r="C69" s="9" t="s">
        <v>57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25">
      <c r="B70" s="27"/>
      <c r="C70" s="8" t="s">
        <v>58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25">
      <c r="B71" s="27"/>
      <c r="C71" s="8" t="s">
        <v>59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25">
      <c r="B72" s="27"/>
      <c r="C72" s="9" t="s">
        <v>60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25">
      <c r="B73" s="27"/>
      <c r="C73" s="8" t="s">
        <v>61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25">
      <c r="B74" s="27"/>
      <c r="C74" s="8" t="s">
        <v>62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25">
      <c r="B75" s="27"/>
      <c r="C75" s="8" t="s">
        <v>63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25">
      <c r="B76" s="27"/>
      <c r="C76" s="8" t="s">
        <v>64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25">
      <c r="B77" s="27"/>
      <c r="C77" s="9" t="s">
        <v>65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25">
      <c r="B78" s="27"/>
      <c r="C78" s="8" t="s">
        <v>66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25">
      <c r="B79" s="15">
        <v>45047</v>
      </c>
      <c r="C79" s="9" t="s">
        <v>67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25">
      <c r="B80" s="15"/>
      <c r="C80" s="8" t="s">
        <v>68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25">
      <c r="B81" s="15"/>
      <c r="C81" s="8" t="s">
        <v>69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25">
      <c r="B82" s="15"/>
      <c r="C82" s="8" t="s">
        <v>70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25">
      <c r="B83" s="15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25">
      <c r="B84" s="15"/>
      <c r="C84" s="9" t="s">
        <v>71</v>
      </c>
      <c r="D84" s="7"/>
      <c r="E84" s="7"/>
      <c r="F84" s="4"/>
      <c r="G84" s="4"/>
      <c r="H84" s="4"/>
      <c r="I84" s="4"/>
      <c r="J84" s="4"/>
      <c r="K84" s="7">
        <f>D85/2</f>
        <v>273.57</v>
      </c>
      <c r="L84" s="7">
        <f>D85/2</f>
        <v>273.57</v>
      </c>
      <c r="M84" s="7"/>
      <c r="N84" s="7"/>
    </row>
    <row r="85" spans="2:14" x14ac:dyDescent="0.25">
      <c r="B85" s="15"/>
      <c r="C85" s="8" t="s">
        <v>32</v>
      </c>
      <c r="D85" s="7">
        <v>547.14</v>
      </c>
      <c r="E85" s="7">
        <f>D85</f>
        <v>547.14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25">
      <c r="B86" s="15"/>
      <c r="C86" s="9" t="s">
        <v>72</v>
      </c>
      <c r="D86" s="7"/>
      <c r="E86" s="7"/>
      <c r="F86" s="4"/>
      <c r="G86" s="4"/>
      <c r="H86" s="4"/>
      <c r="I86" s="4"/>
      <c r="J86" s="4"/>
      <c r="K86" s="7">
        <f>D87/2</f>
        <v>178.82499999999999</v>
      </c>
      <c r="L86" s="7">
        <f>D87/2</f>
        <v>178.82499999999999</v>
      </c>
      <c r="M86" s="7"/>
      <c r="N86" s="7"/>
    </row>
    <row r="87" spans="2:14" x14ac:dyDescent="0.25">
      <c r="B87" s="15"/>
      <c r="C87" s="8" t="s">
        <v>32</v>
      </c>
      <c r="D87" s="7">
        <v>357.65</v>
      </c>
      <c r="E87" s="7">
        <f>D87</f>
        <v>357.65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25">
      <c r="B88" s="15"/>
      <c r="C88" s="4" t="s">
        <v>73</v>
      </c>
      <c r="D88" s="7"/>
      <c r="E88" s="7"/>
      <c r="F88" s="4"/>
      <c r="G88" s="4"/>
      <c r="H88" s="4"/>
      <c r="I88" s="4"/>
      <c r="J88" s="4"/>
      <c r="K88" s="7">
        <f>D90</f>
        <v>268.39999999999998</v>
      </c>
      <c r="L88" s="7">
        <f>D89</f>
        <v>226.43</v>
      </c>
      <c r="M88" s="7"/>
      <c r="N88" s="7"/>
    </row>
    <row r="89" spans="2:14" x14ac:dyDescent="0.25">
      <c r="B89" s="15"/>
      <c r="C89" s="8" t="s">
        <v>69</v>
      </c>
      <c r="D89" s="7">
        <v>226.43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25">
      <c r="B90" s="15"/>
      <c r="C90" s="8" t="s">
        <v>74</v>
      </c>
      <c r="D90" s="7">
        <v>268.39999999999998</v>
      </c>
      <c r="E90" s="7">
        <f>SUM(D89:D90)</f>
        <v>494.83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25">
      <c r="B91" s="14" t="s">
        <v>81</v>
      </c>
      <c r="C91" s="9" t="s">
        <v>82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25">
      <c r="B92" s="14"/>
      <c r="C92" s="8" t="s">
        <v>83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25">
      <c r="B93" s="14"/>
      <c r="C93" s="9" t="s">
        <v>84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25">
      <c r="B94" s="14"/>
      <c r="C94" s="8" t="s">
        <v>83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25">
      <c r="B95" s="14"/>
      <c r="C95" s="9" t="s">
        <v>85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25">
      <c r="B96" s="14"/>
      <c r="C96" s="8" t="s">
        <v>83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  <row r="97" spans="2:14" x14ac:dyDescent="0.25">
      <c r="B97" s="14"/>
      <c r="C97" s="9" t="s">
        <v>90</v>
      </c>
      <c r="D97" s="7">
        <v>1886</v>
      </c>
      <c r="E97" s="7"/>
      <c r="F97" s="4"/>
      <c r="G97" s="4"/>
      <c r="H97" s="4"/>
      <c r="I97" s="4"/>
      <c r="J97" s="4"/>
      <c r="K97" s="7">
        <f>D97/2</f>
        <v>943</v>
      </c>
      <c r="L97" s="7">
        <f>D97/2</f>
        <v>943</v>
      </c>
      <c r="M97" s="7"/>
      <c r="N97" s="7"/>
    </row>
    <row r="98" spans="2:14" x14ac:dyDescent="0.25">
      <c r="B98" s="14"/>
      <c r="C98" s="9" t="s">
        <v>91</v>
      </c>
      <c r="D98" s="13">
        <v>670</v>
      </c>
      <c r="E98" s="7"/>
      <c r="F98" s="4"/>
      <c r="G98" s="4"/>
      <c r="H98" s="4"/>
      <c r="I98" s="4"/>
      <c r="J98" s="4"/>
      <c r="K98" s="7">
        <f>D98/2</f>
        <v>335</v>
      </c>
      <c r="L98" s="7">
        <f>D98/2</f>
        <v>335</v>
      </c>
      <c r="M98" s="7"/>
      <c r="N98" s="7"/>
    </row>
    <row r="99" spans="2:14" x14ac:dyDescent="0.25">
      <c r="B99" s="14"/>
      <c r="C99" s="9" t="s">
        <v>92</v>
      </c>
      <c r="D99" s="13">
        <v>580</v>
      </c>
      <c r="E99" s="7"/>
      <c r="F99" s="4"/>
      <c r="G99" s="4"/>
      <c r="H99" s="4"/>
      <c r="I99" s="4"/>
      <c r="J99" s="4"/>
      <c r="K99" s="7">
        <f>D99/4</f>
        <v>145</v>
      </c>
      <c r="L99" s="7">
        <f>D99/4</f>
        <v>145</v>
      </c>
      <c r="M99" s="7">
        <f>D99/4</f>
        <v>145</v>
      </c>
      <c r="N99" s="7">
        <f>D99/4</f>
        <v>145</v>
      </c>
    </row>
    <row r="100" spans="2:14" x14ac:dyDescent="0.25">
      <c r="B100" s="14"/>
      <c r="C100" s="4" t="s">
        <v>93</v>
      </c>
      <c r="D100" s="7">
        <f>4490*2</f>
        <v>8980</v>
      </c>
      <c r="E100" s="7"/>
      <c r="F100" s="4"/>
      <c r="G100" s="4"/>
      <c r="H100" s="4"/>
      <c r="I100" s="4"/>
      <c r="J100" s="4"/>
      <c r="K100" s="7">
        <f>D100/2</f>
        <v>4490</v>
      </c>
      <c r="L100" s="7">
        <f>D100/2</f>
        <v>4490</v>
      </c>
      <c r="M100" s="7"/>
      <c r="N100" s="7"/>
    </row>
    <row r="101" spans="2:14" x14ac:dyDescent="0.25">
      <c r="B101" s="14"/>
      <c r="C101" s="9" t="s">
        <v>94</v>
      </c>
      <c r="D101" s="7">
        <v>7673</v>
      </c>
      <c r="E101" s="7"/>
      <c r="F101" s="4"/>
      <c r="G101" s="4"/>
      <c r="H101" s="4"/>
      <c r="I101" s="4"/>
      <c r="J101" s="4"/>
      <c r="K101" s="7">
        <f>D101</f>
        <v>7673</v>
      </c>
      <c r="L101" s="7"/>
      <c r="M101" s="7"/>
      <c r="N101" s="7"/>
    </row>
  </sheetData>
  <mergeCells count="12">
    <mergeCell ref="S8:S9"/>
    <mergeCell ref="S10:W10"/>
    <mergeCell ref="S13:W13"/>
    <mergeCell ref="B65:B68"/>
    <mergeCell ref="B69:B78"/>
    <mergeCell ref="B91:B101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2026-06-18T06:02:38Z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