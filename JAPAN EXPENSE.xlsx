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deusworkplace-my.sharepoint.com/personal/jonjester_reguyal_amadeus_com/Documents/Desktop/JAPAN TRIP/"/>
    </mc:Choice>
  </mc:AlternateContent>
  <xr:revisionPtr revIDLastSave="368" documentId="8_{8DD0C82D-92A8-469F-8A5F-7373CA3C28E6}" xr6:coauthVersionLast="47" xr6:coauthVersionMax="47" xr10:uidLastSave="{0425E365-0358-4AA7-ACA8-DC7E48A7E1CC}"/>
  <bookViews>
    <workbookView xWindow="-30828" yWindow="-2916" windowWidth="30936" windowHeight="16776" xr2:uid="{77262E9F-01AC-4670-AAC1-0C05B2A698AE}"/>
  </bookViews>
  <sheets>
    <sheet name="Japan Tr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9" i="1" l="1"/>
  <c r="T9" i="1"/>
  <c r="L100" i="1"/>
  <c r="K100" i="1"/>
  <c r="D100" i="1"/>
  <c r="N99" i="1"/>
  <c r="M99" i="1"/>
  <c r="L99" i="1"/>
  <c r="K99" i="1"/>
  <c r="L98" i="1"/>
  <c r="K98" i="1"/>
  <c r="L97" i="1"/>
  <c r="K97" i="1"/>
  <c r="L79" i="1"/>
  <c r="U12" i="1" s="1"/>
  <c r="K79" i="1"/>
  <c r="V15" i="1"/>
  <c r="U15" i="1"/>
  <c r="T15" i="1"/>
  <c r="L95" i="1"/>
  <c r="L93" i="1"/>
  <c r="L91" i="1"/>
  <c r="K95" i="1"/>
  <c r="E95" i="1"/>
  <c r="K93" i="1"/>
  <c r="E93" i="1"/>
  <c r="K91" i="1"/>
  <c r="E91" i="1"/>
  <c r="T12" i="1"/>
  <c r="S12" i="1"/>
  <c r="L86" i="1"/>
  <c r="K86" i="1"/>
  <c r="E90" i="1"/>
  <c r="E87" i="1"/>
  <c r="E85" i="1"/>
  <c r="E78" i="1"/>
  <c r="E76" i="1"/>
  <c r="E74" i="1"/>
  <c r="E9" i="1"/>
  <c r="E7" i="1"/>
  <c r="E5" i="1"/>
  <c r="E3" i="1"/>
  <c r="W12" i="1"/>
  <c r="V12" i="1"/>
  <c r="L2" i="1"/>
  <c r="S15" i="1"/>
  <c r="L88" i="1"/>
  <c r="K88" i="1"/>
  <c r="L84" i="1"/>
  <c r="K84" i="1"/>
  <c r="D82" i="1"/>
  <c r="D81" i="1"/>
  <c r="D80" i="1"/>
  <c r="K77" i="1"/>
  <c r="L75" i="1"/>
  <c r="K75" i="1"/>
  <c r="L72" i="1"/>
  <c r="K72" i="1"/>
  <c r="L69" i="1"/>
  <c r="K69" i="1"/>
  <c r="D71" i="1"/>
  <c r="D70" i="1"/>
  <c r="M67" i="1"/>
  <c r="L67" i="1"/>
  <c r="K67" i="1"/>
  <c r="K65" i="1"/>
  <c r="L62" i="1"/>
  <c r="K62" i="1"/>
  <c r="D64" i="1"/>
  <c r="D63" i="1"/>
  <c r="L60" i="1"/>
  <c r="K60" i="1"/>
  <c r="K58" i="1"/>
  <c r="L55" i="1"/>
  <c r="K55" i="1"/>
  <c r="K53" i="1"/>
  <c r="N49" i="1"/>
  <c r="M49" i="1"/>
  <c r="L49" i="1"/>
  <c r="D52" i="1"/>
  <c r="D51" i="1"/>
  <c r="D50" i="1"/>
  <c r="K49" i="1" s="1"/>
  <c r="D49" i="1"/>
  <c r="L46" i="1"/>
  <c r="K46" i="1"/>
  <c r="N42" i="1"/>
  <c r="K42" i="1"/>
  <c r="L42" i="1"/>
  <c r="K40" i="1"/>
  <c r="L38" i="1"/>
  <c r="K38" i="1"/>
  <c r="K34" i="1"/>
  <c r="L34" i="1"/>
  <c r="N34" i="1"/>
  <c r="D37" i="1"/>
  <c r="D36" i="1"/>
  <c r="D35" i="1"/>
  <c r="D33" i="1"/>
  <c r="L31" i="1" s="1"/>
  <c r="D32" i="1"/>
  <c r="E33" i="1" s="1"/>
  <c r="L29" i="1"/>
  <c r="K29" i="1"/>
  <c r="L26" i="1"/>
  <c r="K26" i="1"/>
  <c r="K24" i="1"/>
  <c r="L21" i="1"/>
  <c r="K21" i="1"/>
  <c r="K19" i="1"/>
  <c r="D23" i="1"/>
  <c r="D22" i="1"/>
  <c r="E23" i="1"/>
  <c r="L16" i="1"/>
  <c r="K16" i="1"/>
  <c r="L12" i="1"/>
  <c r="K12" i="1"/>
  <c r="L14" i="1"/>
  <c r="K14" i="1"/>
  <c r="N10" i="1"/>
  <c r="M10" i="1"/>
  <c r="L10" i="1"/>
  <c r="K10" i="1"/>
  <c r="D11" i="1"/>
  <c r="N8" i="1"/>
  <c r="M8" i="1"/>
  <c r="L8" i="1"/>
  <c r="K8" i="1"/>
  <c r="D9" i="1"/>
  <c r="D5" i="1"/>
  <c r="L4" i="1" s="1"/>
  <c r="D7" i="1"/>
  <c r="N6" i="1" s="1"/>
  <c r="K2" i="1"/>
  <c r="E82" i="1" l="1"/>
  <c r="E52" i="1"/>
  <c r="K31" i="1"/>
  <c r="K4" i="1"/>
  <c r="K6" i="1"/>
  <c r="L6" i="1"/>
  <c r="M6" i="1"/>
</calcChain>
</file>

<file path=xl/sharedStrings.xml><?xml version="1.0" encoding="utf-8"?>
<sst xmlns="http://schemas.openxmlformats.org/spreadsheetml/2006/main" count="121" uniqueCount="94">
  <si>
    <t xml:space="preserve">FLIGHT </t>
  </si>
  <si>
    <t>JES</t>
  </si>
  <si>
    <t xml:space="preserve">CHA </t>
  </si>
  <si>
    <t>JOYCE</t>
  </si>
  <si>
    <t>JOH</t>
  </si>
  <si>
    <t>UBER to Namba station round trip</t>
  </si>
  <si>
    <t>POCKET WIFI * 9 days</t>
  </si>
  <si>
    <t>BAGGAGE &amp; Travel Tax</t>
  </si>
  <si>
    <t>Namba Station to Airbnb</t>
  </si>
  <si>
    <t>Date</t>
  </si>
  <si>
    <t>ATM Withdrawal</t>
  </si>
  <si>
    <t>Kenny Rogers</t>
  </si>
  <si>
    <t>HANAMARUUDON</t>
  </si>
  <si>
    <t xml:space="preserve">BOOK OFF PLUS </t>
  </si>
  <si>
    <t>VELOCE, CAFÉ</t>
  </si>
  <si>
    <t>GEO OSAKANIHONSHITE</t>
  </si>
  <si>
    <t xml:space="preserve">LAWSON </t>
  </si>
  <si>
    <t>MATCHA 587</t>
  </si>
  <si>
    <t xml:space="preserve">ONITSUKA TIGER </t>
  </si>
  <si>
    <t>DAIKOKU DRUG OSAKA JAPAN</t>
  </si>
  <si>
    <t>SAWAWA KYOTO JAPAN</t>
  </si>
  <si>
    <t>ANDO OSAKA JAPAN</t>
  </si>
  <si>
    <t>SHINOIYA 1 OSAKA CASTLE</t>
  </si>
  <si>
    <t>SUPATAMEDE OSAKA JPN</t>
  </si>
  <si>
    <t xml:space="preserve">TULLYS COFFEE </t>
  </si>
  <si>
    <t>ITOKAYADO SENMONTEN FOOD</t>
  </si>
  <si>
    <t>CHARRY</t>
  </si>
  <si>
    <t>JOH 3X eyedrop</t>
  </si>
  <si>
    <t>jes 3 X eyedrop and 2x sunscreen</t>
  </si>
  <si>
    <t>CHA 4 items</t>
  </si>
  <si>
    <t>jes</t>
  </si>
  <si>
    <t>cha</t>
  </si>
  <si>
    <t>/2</t>
  </si>
  <si>
    <t>charger</t>
  </si>
  <si>
    <t xml:space="preserve">cha matcha </t>
  </si>
  <si>
    <t>Jes Mario and figures</t>
  </si>
  <si>
    <t>cha food</t>
  </si>
  <si>
    <t>jes food</t>
  </si>
  <si>
    <t>/4</t>
  </si>
  <si>
    <t>/2 Grocery</t>
  </si>
  <si>
    <t>cha - UJI MATCHA</t>
  </si>
  <si>
    <t>joh - soy coffee</t>
  </si>
  <si>
    <t>jes - mocha</t>
  </si>
  <si>
    <t xml:space="preserve">joyce - mocha </t>
  </si>
  <si>
    <t>jes - lunch</t>
  </si>
  <si>
    <t>HOOP OSAKA JAPAN</t>
  </si>
  <si>
    <t>Details</t>
  </si>
  <si>
    <t>Total</t>
  </si>
  <si>
    <t>Jes - magnet</t>
  </si>
  <si>
    <t xml:space="preserve">UNIVERSAL </t>
  </si>
  <si>
    <t>/2 LUNCH</t>
  </si>
  <si>
    <t>GONG CHA</t>
  </si>
  <si>
    <t>cha - brown sugar</t>
  </si>
  <si>
    <t xml:space="preserve">jes - masala chai </t>
  </si>
  <si>
    <t>Maruchimdeia Umeda</t>
  </si>
  <si>
    <t>anker</t>
  </si>
  <si>
    <t>/3 Jes - Debit card</t>
  </si>
  <si>
    <t>STARBUCKS</t>
  </si>
  <si>
    <t xml:space="preserve">CHA - MATCHA </t>
  </si>
  <si>
    <t>JES - WHITE CHOCOLATE MOCHA</t>
  </si>
  <si>
    <t>DAISO HIROSHIMA</t>
  </si>
  <si>
    <t xml:space="preserve">JES </t>
  </si>
  <si>
    <t>CHA</t>
  </si>
  <si>
    <t>COSMOS DOTONBORI OSAKA JAPAN</t>
  </si>
  <si>
    <t>SABON PANLABA</t>
  </si>
  <si>
    <t>DAIMARU SHINSAIBASHI</t>
  </si>
  <si>
    <t>Pokemon</t>
  </si>
  <si>
    <t>DAIKOKU DRUG</t>
  </si>
  <si>
    <t xml:space="preserve">Jes </t>
  </si>
  <si>
    <t>Cha</t>
  </si>
  <si>
    <t>Pasalubong /2</t>
  </si>
  <si>
    <t>LAWSON</t>
  </si>
  <si>
    <t>FAMILYMART</t>
  </si>
  <si>
    <t>MCDONALDS</t>
  </si>
  <si>
    <t>Jes</t>
  </si>
  <si>
    <t xml:space="preserve">TOTAL OF ALL EXPENSES </t>
  </si>
  <si>
    <t xml:space="preserve">JJ </t>
  </si>
  <si>
    <t xml:space="preserve">JOYCE </t>
  </si>
  <si>
    <t>JJ</t>
  </si>
  <si>
    <t>CREDIT CARD EXPENSES</t>
  </si>
  <si>
    <t xml:space="preserve">DEBIT CARD WITHDRAW </t>
  </si>
  <si>
    <t>OTHERS</t>
  </si>
  <si>
    <t>KYOTO DAYTRIP KLOOK</t>
  </si>
  <si>
    <t>each</t>
  </si>
  <si>
    <t>Universal KLOOK</t>
  </si>
  <si>
    <t>Accomodation 9 days</t>
  </si>
  <si>
    <t>Transactions</t>
  </si>
  <si>
    <t>matcha icecream</t>
  </si>
  <si>
    <t>sports camera</t>
  </si>
  <si>
    <t xml:space="preserve">jes kape </t>
  </si>
  <si>
    <t xml:space="preserve">Travel INSURANCE </t>
  </si>
  <si>
    <t>Grab to airport and home</t>
  </si>
  <si>
    <t xml:space="preserve">Grab Home to Airport </t>
  </si>
  <si>
    <t>JAPAN VISA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</si>
</sst>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43" fontId="0" fillId="0" borderId="0" xfId="1" applyFont="1"/>
    <xf numFmtId="0" fontId="0" fillId="0" borderId="1" xfId="0" applyBorder="1" applyAlignment="1">
      <alignment horizontal="center"/>
    </xf>
    <xf numFmtId="43" fontId="0" fillId="0" borderId="1" xfId="0" applyNumberFormat="1" applyBorder="1"/>
    <xf numFmtId="0" fontId="0" fillId="0" borderId="1" xfId="0" applyBorder="1"/>
    <xf numFmtId="4" fontId="0" fillId="0" borderId="1" xfId="0" applyNumberFormat="1" applyBorder="1" applyAlignment="1">
      <alignment horizontal="right"/>
    </xf>
    <xf numFmtId="43" fontId="0" fillId="0" borderId="1" xfId="1" applyFont="1" applyBorder="1" applyAlignment="1">
      <alignment vertical="center"/>
    </xf>
    <xf numFmtId="43" fontId="0" fillId="0" borderId="1" xfId="1" applyFont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/>
    <xf numFmtId="43" fontId="2" fillId="0" borderId="1" xfId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7" fontId="2" fillId="7" borderId="1" xfId="0" applyNumberFormat="1" applyFont="1" applyFill="1" applyBorder="1" applyAlignment="1">
      <alignment horizontal="center" vertical="center"/>
    </xf>
    <xf numFmtId="17" fontId="2" fillId="8" borderId="1" xfId="0" applyNumberFormat="1" applyFont="1" applyFill="1" applyBorder="1" applyAlignment="1">
      <alignment horizontal="center" vertical="center"/>
    </xf>
    <xf numFmtId="17" fontId="2" fillId="9" borderId="1" xfId="0" applyNumberFormat="1" applyFont="1" applyFill="1" applyBorder="1" applyAlignment="1">
      <alignment horizontal="center" vertical="center"/>
    </xf>
    <xf numFmtId="17" fontId="2" fillId="5" borderId="1" xfId="0" applyNumberFormat="1" applyFont="1" applyFill="1" applyBorder="1" applyAlignment="1">
      <alignment horizontal="center" vertical="center"/>
    </xf>
    <xf numFmtId="17" fontId="2" fillId="3" borderId="1" xfId="0" applyNumberFormat="1" applyFont="1" applyFill="1" applyBorder="1" applyAlignment="1">
      <alignment horizontal="center" vertical="center"/>
    </xf>
    <xf numFmtId="17" fontId="2" fillId="4" borderId="1" xfId="0" applyNumberFormat="1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 vertical="center"/>
    </xf>
    <xf numFmtId="17" fontId="2" fillId="6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/>
    </xf>
    <xf numFmtId="43" fontId="0" fillId="0" borderId="1" xfId="1" applyFont="1" applyBorder="1" applyAlignment="1">
      <alignment horizontal="left"/>
    </xf>
    <xf numFmtId="0" fontId="2" fillId="10" borderId="2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58C2-89C8-422F-BB16-5EF3E8507030}">
  <dimension ref="B1:W100"/>
  <sheetViews>
    <sheetView showGridLines="0" tabSelected="1" topLeftCell="A70" workbookViewId="0">
      <selection activeCell="V93" sqref="V93"/>
    </sheetView>
  </sheetViews>
  <sheetFormatPr defaultRowHeight="15" x14ac:dyDescent="0.25"/>
  <cols>
    <col min="2" max="2" width="8.85546875" style="11"/>
    <col min="3" max="3" width="31.140625" customWidth="1"/>
    <col min="4" max="5" width="10.7109375" style="1" bestFit="1" customWidth="1"/>
    <col min="6" max="10" width="8.85546875" hidden="1" customWidth="1"/>
    <col min="11" max="11" width="19.85546875" style="1" customWidth="1"/>
    <col min="12" max="12" width="21.7109375" style="1" customWidth="1"/>
    <col min="13" max="13" width="13" style="1" customWidth="1"/>
    <col min="14" max="14" width="15.5703125" style="1" customWidth="1"/>
    <col min="19" max="19" width="23.85546875" bestFit="1" customWidth="1"/>
    <col min="20" max="21" width="10.7109375" bestFit="1" customWidth="1"/>
    <col min="22" max="22" width="9.7109375" bestFit="1" customWidth="1"/>
    <col min="23" max="23" width="8.140625" bestFit="1" customWidth="1"/>
  </cols>
  <sheetData>
    <row r="1" spans="2:23" x14ac:dyDescent="0.25">
      <c r="B1" s="10" t="s">
        <v>9</v>
      </c>
      <c r="C1" s="10" t="s">
        <v>86</v>
      </c>
      <c r="D1" s="12" t="s">
        <v>46</v>
      </c>
      <c r="E1" s="12" t="s">
        <v>47</v>
      </c>
      <c r="F1" s="10"/>
      <c r="G1" s="10"/>
      <c r="H1" s="10"/>
      <c r="I1" s="10"/>
      <c r="J1" s="10"/>
      <c r="K1" s="12" t="s">
        <v>1</v>
      </c>
      <c r="L1" s="12" t="s">
        <v>2</v>
      </c>
      <c r="M1" s="12" t="s">
        <v>3</v>
      </c>
      <c r="N1" s="12" t="s">
        <v>4</v>
      </c>
    </row>
    <row r="2" spans="2:23" x14ac:dyDescent="0.25">
      <c r="B2" s="21">
        <v>42491</v>
      </c>
      <c r="C2" s="4" t="s">
        <v>0</v>
      </c>
      <c r="D2" s="7"/>
      <c r="E2" s="7"/>
      <c r="F2" s="4"/>
      <c r="G2" s="4"/>
      <c r="H2" s="4"/>
      <c r="I2" s="4"/>
      <c r="J2" s="4"/>
      <c r="K2" s="7">
        <f>D3/2</f>
        <v>14785.36</v>
      </c>
      <c r="L2" s="7">
        <f>D3/2</f>
        <v>14785.36</v>
      </c>
      <c r="M2" s="7"/>
      <c r="N2" s="7"/>
    </row>
    <row r="3" spans="2:23" x14ac:dyDescent="0.25">
      <c r="B3" s="21"/>
      <c r="C3" s="8" t="s">
        <v>32</v>
      </c>
      <c r="D3" s="7">
        <v>29570.720000000001</v>
      </c>
      <c r="E3" s="7">
        <f>SUM(D3)</f>
        <v>29570.720000000001</v>
      </c>
      <c r="F3" s="4"/>
      <c r="G3" s="4"/>
      <c r="H3" s="4"/>
      <c r="I3" s="4"/>
      <c r="J3" s="4"/>
      <c r="K3" s="7"/>
      <c r="L3" s="7"/>
      <c r="M3" s="7"/>
      <c r="N3" s="7"/>
    </row>
    <row r="4" spans="2:23" x14ac:dyDescent="0.25">
      <c r="B4" s="21"/>
      <c r="C4" s="4" t="s">
        <v>7</v>
      </c>
      <c r="D4" s="7"/>
      <c r="E4" s="7"/>
      <c r="F4" s="4"/>
      <c r="G4" s="4"/>
      <c r="H4" s="4"/>
      <c r="I4" s="4"/>
      <c r="J4" s="4"/>
      <c r="K4" s="7">
        <f>D5/2</f>
        <v>3175</v>
      </c>
      <c r="L4" s="7">
        <f>D5/2</f>
        <v>3175</v>
      </c>
      <c r="M4" s="7"/>
      <c r="N4" s="7"/>
    </row>
    <row r="5" spans="2:23" x14ac:dyDescent="0.25">
      <c r="B5" s="21"/>
      <c r="C5" s="8" t="s">
        <v>32</v>
      </c>
      <c r="D5" s="7">
        <f>3175*2</f>
        <v>6350</v>
      </c>
      <c r="E5" s="7">
        <f>SUM(D5)</f>
        <v>6350</v>
      </c>
      <c r="F5" s="4"/>
      <c r="G5" s="4"/>
      <c r="H5" s="4"/>
      <c r="I5" s="4"/>
      <c r="J5" s="4"/>
      <c r="K5" s="7"/>
      <c r="L5" s="7"/>
      <c r="M5" s="7"/>
      <c r="N5" s="7"/>
    </row>
    <row r="6" spans="2:23" x14ac:dyDescent="0.25">
      <c r="B6" s="21"/>
      <c r="C6" s="4" t="s">
        <v>6</v>
      </c>
      <c r="D6" s="7"/>
      <c r="E6" s="7"/>
      <c r="F6" s="4"/>
      <c r="G6" s="4"/>
      <c r="H6" s="4"/>
      <c r="I6" s="4"/>
      <c r="J6" s="4"/>
      <c r="K6" s="7">
        <f>D7/4</f>
        <v>1161</v>
      </c>
      <c r="L6" s="7">
        <f>D7/4</f>
        <v>1161</v>
      </c>
      <c r="M6" s="7">
        <f>D7/4</f>
        <v>1161</v>
      </c>
      <c r="N6" s="7">
        <f>D7/4</f>
        <v>1161</v>
      </c>
    </row>
    <row r="7" spans="2:23" x14ac:dyDescent="0.25">
      <c r="B7" s="21"/>
      <c r="C7" s="8" t="s">
        <v>38</v>
      </c>
      <c r="D7" s="7">
        <f>1161*4</f>
        <v>4644</v>
      </c>
      <c r="E7" s="7">
        <f>SUM(D7)</f>
        <v>4644</v>
      </c>
      <c r="F7" s="4"/>
      <c r="G7" s="4"/>
      <c r="H7" s="4"/>
      <c r="I7" s="4"/>
      <c r="J7" s="4"/>
      <c r="K7" s="7"/>
      <c r="L7" s="7"/>
      <c r="M7" s="7"/>
      <c r="N7" s="7"/>
    </row>
    <row r="8" spans="2:23" x14ac:dyDescent="0.25">
      <c r="B8" s="21"/>
      <c r="C8" s="4" t="s">
        <v>5</v>
      </c>
      <c r="D8" s="7"/>
      <c r="E8" s="7"/>
      <c r="F8" s="4"/>
      <c r="G8" s="4"/>
      <c r="H8" s="4"/>
      <c r="I8" s="4"/>
      <c r="J8" s="4"/>
      <c r="K8" s="7">
        <f>D9/4</f>
        <v>1158</v>
      </c>
      <c r="L8" s="7">
        <f>D9/4</f>
        <v>1158</v>
      </c>
      <c r="M8" s="7">
        <f>D9/4</f>
        <v>1158</v>
      </c>
      <c r="N8" s="7">
        <f>D9/4</f>
        <v>1158</v>
      </c>
      <c r="S8" s="13" t="s">
        <v>75</v>
      </c>
      <c r="T8" s="2" t="s">
        <v>76</v>
      </c>
      <c r="U8" s="2" t="s">
        <v>2</v>
      </c>
      <c r="V8" s="2" t="s">
        <v>77</v>
      </c>
      <c r="W8" s="2" t="s">
        <v>4</v>
      </c>
    </row>
    <row r="9" spans="2:23" x14ac:dyDescent="0.25">
      <c r="B9" s="21"/>
      <c r="C9" s="8" t="s">
        <v>38</v>
      </c>
      <c r="D9" s="7">
        <f>1158*4</f>
        <v>4632</v>
      </c>
      <c r="E9" s="7">
        <f>SUM(D9)</f>
        <v>4632</v>
      </c>
      <c r="F9" s="4"/>
      <c r="G9" s="4"/>
      <c r="H9" s="4"/>
      <c r="I9" s="4"/>
      <c r="J9" s="4"/>
      <c r="K9" s="7"/>
      <c r="L9" s="7"/>
      <c r="M9" s="7"/>
      <c r="N9" s="7"/>
      <c r="S9" s="14"/>
      <c r="T9" s="3">
        <f>SUM(K2:K100)</f>
        <v>84847.909999999974</v>
      </c>
      <c r="U9" s="3">
        <f>SUM(L2:L100)</f>
        <v>71526.739999999991</v>
      </c>
      <c r="V9" s="4"/>
      <c r="W9" s="4"/>
    </row>
    <row r="10" spans="2:23" x14ac:dyDescent="0.25">
      <c r="B10" s="21"/>
      <c r="C10" s="4" t="s">
        <v>8</v>
      </c>
      <c r="D10" s="7"/>
      <c r="E10" s="7"/>
      <c r="F10" s="4"/>
      <c r="G10" s="4"/>
      <c r="H10" s="4"/>
      <c r="I10" s="4"/>
      <c r="J10" s="4"/>
      <c r="K10" s="7">
        <f>D11/4</f>
        <v>256</v>
      </c>
      <c r="L10" s="7">
        <f>D11/4</f>
        <v>256</v>
      </c>
      <c r="M10" s="7">
        <f>D11/4</f>
        <v>256</v>
      </c>
      <c r="N10" s="7">
        <f>D11/4</f>
        <v>256</v>
      </c>
      <c r="S10" s="15"/>
      <c r="T10" s="16"/>
      <c r="U10" s="16"/>
      <c r="V10" s="16"/>
      <c r="W10" s="17"/>
    </row>
    <row r="11" spans="2:23" x14ac:dyDescent="0.25">
      <c r="B11" s="21"/>
      <c r="C11" s="4"/>
      <c r="D11" s="7">
        <f>256*4</f>
        <v>1024</v>
      </c>
      <c r="E11" s="7"/>
      <c r="F11" s="4"/>
      <c r="G11" s="4"/>
      <c r="H11" s="4"/>
      <c r="I11" s="4"/>
      <c r="J11" s="4"/>
      <c r="K11" s="7"/>
      <c r="L11" s="7"/>
      <c r="M11" s="7"/>
      <c r="N11" s="7"/>
      <c r="S11" s="10" t="s">
        <v>79</v>
      </c>
      <c r="T11" s="2" t="s">
        <v>78</v>
      </c>
      <c r="U11" s="2" t="s">
        <v>62</v>
      </c>
      <c r="V11" s="2" t="s">
        <v>77</v>
      </c>
      <c r="W11" s="2" t="s">
        <v>4</v>
      </c>
    </row>
    <row r="12" spans="2:23" x14ac:dyDescent="0.25">
      <c r="B12" s="21"/>
      <c r="C12" s="4" t="s">
        <v>11</v>
      </c>
      <c r="D12" s="7"/>
      <c r="E12" s="7"/>
      <c r="F12" s="4"/>
      <c r="G12" s="4"/>
      <c r="H12" s="4"/>
      <c r="I12" s="4"/>
      <c r="J12" s="4"/>
      <c r="K12" s="7">
        <f>D13/2</f>
        <v>340</v>
      </c>
      <c r="L12" s="7">
        <f>D13/2</f>
        <v>340</v>
      </c>
      <c r="M12" s="7"/>
      <c r="N12" s="7"/>
      <c r="S12" s="5">
        <f>SUM(D13,D17,D18,D20,D22,D23,D25,D27,D28,D30,D32,D33,D35,D36,D37,D39,D41,D43,D44,D45,D49,D47,D50,D51,D52,D54,D56,D57,D59,D61,D63,D64,D66,D70,D71,D73,D74,D76,D78,D80,D81,D82,D85,D87,D89,D90)</f>
        <v>58593.979999999996</v>
      </c>
      <c r="T12" s="3">
        <f>SUM(K12,K19,K21,K24,K26,K29,K31,K34,K38,K40,K42,K46,K49,K53,K55,K58,K60,K62,K65,K69,K72,K75,K77,K79,K80,K84,K88,K86,K16)</f>
        <v>35468.904999999999</v>
      </c>
      <c r="U12" s="3">
        <f>SUM(L12,L16,L21,L26,L29,L31,L34,L38,L42,L46,L49,L55,L60,L62,L69,L72,L75,L79,L80,L84,L88,L86)</f>
        <v>22147.735000000001</v>
      </c>
      <c r="V12" s="3">
        <f>SUM(M49)</f>
        <v>262.42500000000001</v>
      </c>
      <c r="W12" s="3">
        <f>SUM(N34,N42,N49)</f>
        <v>714.91500000000008</v>
      </c>
    </row>
    <row r="13" spans="2:23" x14ac:dyDescent="0.25">
      <c r="B13" s="21"/>
      <c r="C13" s="8" t="s">
        <v>32</v>
      </c>
      <c r="D13" s="7">
        <v>680</v>
      </c>
      <c r="E13" s="7"/>
      <c r="F13" s="4"/>
      <c r="G13" s="4"/>
      <c r="H13" s="4"/>
      <c r="I13" s="4"/>
      <c r="J13" s="4"/>
      <c r="K13" s="7"/>
      <c r="L13" s="7"/>
      <c r="M13" s="7"/>
      <c r="N13" s="7"/>
      <c r="S13" s="15"/>
      <c r="T13" s="16"/>
      <c r="U13" s="16"/>
      <c r="V13" s="16"/>
      <c r="W13" s="17"/>
    </row>
    <row r="14" spans="2:23" x14ac:dyDescent="0.25">
      <c r="B14" s="22">
        <v>42856</v>
      </c>
      <c r="C14" s="4" t="s">
        <v>10</v>
      </c>
      <c r="D14" s="7"/>
      <c r="E14" s="7"/>
      <c r="F14" s="4"/>
      <c r="G14" s="4"/>
      <c r="H14" s="4"/>
      <c r="I14" s="4"/>
      <c r="J14" s="4"/>
      <c r="K14" s="7">
        <f>D15/2</f>
        <v>4229.875</v>
      </c>
      <c r="L14" s="7">
        <f>D15/2</f>
        <v>4229.875</v>
      </c>
      <c r="M14" s="7"/>
      <c r="N14" s="7"/>
      <c r="S14" s="10" t="s">
        <v>80</v>
      </c>
      <c r="T14" s="2" t="s">
        <v>78</v>
      </c>
      <c r="U14" s="2" t="s">
        <v>62</v>
      </c>
      <c r="V14" s="2" t="s">
        <v>3</v>
      </c>
      <c r="W14" s="2" t="s">
        <v>4</v>
      </c>
    </row>
    <row r="15" spans="2:23" x14ac:dyDescent="0.25">
      <c r="B15" s="22"/>
      <c r="C15" s="8" t="s">
        <v>30</v>
      </c>
      <c r="D15" s="7">
        <v>8459.75</v>
      </c>
      <c r="E15" s="7"/>
      <c r="F15" s="4"/>
      <c r="G15" s="4"/>
      <c r="H15" s="4"/>
      <c r="I15" s="4"/>
      <c r="J15" s="4"/>
      <c r="K15" s="7"/>
      <c r="L15" s="7"/>
      <c r="M15" s="7"/>
      <c r="N15" s="7"/>
      <c r="S15" s="6">
        <f>SUM(D15,D68)</f>
        <v>20888.059999999998</v>
      </c>
      <c r="T15" s="3">
        <f>SUM(K14,K67)</f>
        <v>8372.6450000000004</v>
      </c>
      <c r="U15" s="3">
        <f>SUM(L14,L67)</f>
        <v>8372.6450000000004</v>
      </c>
      <c r="V15" s="3">
        <f>SUM(M67)</f>
        <v>4142.7699999999995</v>
      </c>
      <c r="W15" s="4"/>
    </row>
    <row r="16" spans="2:23" x14ac:dyDescent="0.25">
      <c r="B16" s="22"/>
      <c r="C16" s="4" t="s">
        <v>12</v>
      </c>
      <c r="D16" s="7"/>
      <c r="E16" s="7"/>
      <c r="F16" s="4"/>
      <c r="G16" s="4"/>
      <c r="H16" s="4"/>
      <c r="I16" s="4"/>
      <c r="J16" s="4"/>
      <c r="K16" s="7">
        <f>D18</f>
        <v>509.12</v>
      </c>
      <c r="L16" s="7">
        <f>D17</f>
        <v>423.35</v>
      </c>
      <c r="M16" s="7"/>
      <c r="N16" s="7"/>
    </row>
    <row r="17" spans="2:14" x14ac:dyDescent="0.25">
      <c r="B17" s="22"/>
      <c r="C17" s="8" t="s">
        <v>36</v>
      </c>
      <c r="D17" s="7">
        <v>423.35</v>
      </c>
      <c r="E17" s="7"/>
      <c r="F17" s="4"/>
      <c r="G17" s="4"/>
      <c r="H17" s="4"/>
      <c r="I17" s="4"/>
      <c r="J17" s="4"/>
      <c r="K17" s="7"/>
      <c r="L17" s="7"/>
      <c r="M17" s="7"/>
      <c r="N17" s="7"/>
    </row>
    <row r="18" spans="2:14" x14ac:dyDescent="0.25">
      <c r="B18" s="22"/>
      <c r="C18" s="8" t="s">
        <v>37</v>
      </c>
      <c r="D18" s="7">
        <v>509.12</v>
      </c>
      <c r="E18" s="7"/>
      <c r="F18" s="4"/>
      <c r="G18" s="4"/>
      <c r="H18" s="4"/>
      <c r="I18" s="4"/>
      <c r="J18" s="4"/>
      <c r="K18" s="7"/>
      <c r="L18" s="7"/>
      <c r="M18" s="7"/>
      <c r="N18" s="7"/>
    </row>
    <row r="19" spans="2:14" x14ac:dyDescent="0.25">
      <c r="B19" s="22"/>
      <c r="C19" s="4" t="s">
        <v>13</v>
      </c>
      <c r="D19" s="7"/>
      <c r="E19" s="7"/>
      <c r="F19" s="4"/>
      <c r="G19" s="4"/>
      <c r="H19" s="4"/>
      <c r="I19" s="4"/>
      <c r="J19" s="4"/>
      <c r="K19" s="7">
        <f>D20</f>
        <v>3330.65</v>
      </c>
      <c r="L19" s="7"/>
      <c r="M19" s="7"/>
      <c r="N19" s="7"/>
    </row>
    <row r="20" spans="2:14" x14ac:dyDescent="0.25">
      <c r="B20" s="22"/>
      <c r="C20" s="8" t="s">
        <v>35</v>
      </c>
      <c r="D20" s="7">
        <v>3330.65</v>
      </c>
      <c r="E20" s="7"/>
      <c r="F20" s="4"/>
      <c r="G20" s="4"/>
      <c r="H20" s="4"/>
      <c r="I20" s="4"/>
      <c r="J20" s="4"/>
      <c r="K20" s="7"/>
      <c r="L20" s="7"/>
      <c r="M20" s="7"/>
      <c r="N20" s="7"/>
    </row>
    <row r="21" spans="2:14" x14ac:dyDescent="0.25">
      <c r="B21" s="22"/>
      <c r="C21" s="4" t="s">
        <v>14</v>
      </c>
      <c r="D21" s="7"/>
      <c r="E21" s="7"/>
      <c r="F21" s="4"/>
      <c r="G21" s="4"/>
      <c r="H21" s="4"/>
      <c r="I21" s="4"/>
      <c r="J21" s="4"/>
      <c r="K21" s="7">
        <f>D22</f>
        <v>229.48</v>
      </c>
      <c r="L21" s="7">
        <f>D23</f>
        <v>190.8</v>
      </c>
      <c r="M21" s="7"/>
      <c r="N21" s="7"/>
    </row>
    <row r="22" spans="2:14" x14ac:dyDescent="0.25">
      <c r="B22" s="22"/>
      <c r="C22" s="8" t="s">
        <v>89</v>
      </c>
      <c r="D22" s="7">
        <f>220.48+9</f>
        <v>229.48</v>
      </c>
      <c r="E22" s="7"/>
      <c r="F22" s="4"/>
      <c r="G22" s="4"/>
      <c r="H22" s="4"/>
      <c r="I22" s="4"/>
      <c r="J22" s="4"/>
      <c r="K22" s="7"/>
      <c r="L22" s="7"/>
      <c r="M22" s="7"/>
      <c r="N22" s="7"/>
    </row>
    <row r="23" spans="2:14" x14ac:dyDescent="0.25">
      <c r="B23" s="22"/>
      <c r="C23" s="8" t="s">
        <v>34</v>
      </c>
      <c r="D23" s="7">
        <f>181.8+9</f>
        <v>190.8</v>
      </c>
      <c r="E23" s="7">
        <f>SUM(D22,D23)</f>
        <v>420.28</v>
      </c>
      <c r="F23" s="4"/>
      <c r="G23" s="4"/>
      <c r="H23" s="4"/>
      <c r="I23" s="4"/>
      <c r="J23" s="4"/>
      <c r="K23" s="7"/>
      <c r="L23" s="7"/>
      <c r="M23" s="7"/>
      <c r="N23" s="7"/>
    </row>
    <row r="24" spans="2:14" x14ac:dyDescent="0.25">
      <c r="B24" s="22"/>
      <c r="C24" s="4" t="s">
        <v>15</v>
      </c>
      <c r="D24" s="7"/>
      <c r="E24" s="7"/>
      <c r="F24" s="4"/>
      <c r="G24" s="4"/>
      <c r="H24" s="4"/>
      <c r="I24" s="4"/>
      <c r="J24" s="4"/>
      <c r="K24" s="7">
        <f>D25</f>
        <v>1331.86</v>
      </c>
      <c r="L24" s="7"/>
      <c r="M24" s="7"/>
      <c r="N24" s="7"/>
    </row>
    <row r="25" spans="2:14" x14ac:dyDescent="0.25">
      <c r="B25" s="22"/>
      <c r="C25" s="8" t="s">
        <v>33</v>
      </c>
      <c r="D25" s="7">
        <v>1331.86</v>
      </c>
      <c r="E25" s="7"/>
      <c r="F25" s="4"/>
      <c r="G25" s="4"/>
      <c r="H25" s="4"/>
      <c r="I25" s="4"/>
      <c r="J25" s="4"/>
      <c r="K25" s="7"/>
      <c r="L25" s="7"/>
      <c r="M25" s="7"/>
      <c r="N25" s="7"/>
    </row>
    <row r="26" spans="2:14" x14ac:dyDescent="0.25">
      <c r="B26" s="22"/>
      <c r="C26" s="4" t="s">
        <v>16</v>
      </c>
      <c r="D26" s="7"/>
      <c r="E26" s="7"/>
      <c r="F26" s="4"/>
      <c r="G26" s="4"/>
      <c r="H26" s="4"/>
      <c r="I26" s="4"/>
      <c r="J26" s="4"/>
      <c r="K26" s="7">
        <f>D27</f>
        <v>585.75</v>
      </c>
      <c r="L26" s="7">
        <f>D28</f>
        <v>414.87</v>
      </c>
      <c r="M26" s="7"/>
      <c r="N26" s="7"/>
    </row>
    <row r="27" spans="2:14" x14ac:dyDescent="0.25">
      <c r="B27" s="22"/>
      <c r="C27" s="8" t="s">
        <v>30</v>
      </c>
      <c r="D27" s="7">
        <v>585.75</v>
      </c>
      <c r="E27" s="7"/>
      <c r="F27" s="4"/>
      <c r="G27" s="4"/>
      <c r="H27" s="4"/>
      <c r="I27" s="4"/>
      <c r="J27" s="4"/>
      <c r="K27" s="7"/>
      <c r="L27" s="7"/>
      <c r="M27" s="7"/>
      <c r="N27" s="7"/>
    </row>
    <row r="28" spans="2:14" x14ac:dyDescent="0.25">
      <c r="B28" s="22"/>
      <c r="C28" s="8" t="s">
        <v>31</v>
      </c>
      <c r="D28" s="7">
        <v>414.87</v>
      </c>
      <c r="E28" s="7"/>
      <c r="F28" s="4"/>
      <c r="G28" s="4"/>
      <c r="H28" s="4"/>
      <c r="I28" s="4"/>
      <c r="J28" s="4"/>
      <c r="K28" s="7"/>
      <c r="L28" s="7"/>
      <c r="M28" s="7"/>
      <c r="N28" s="7"/>
    </row>
    <row r="29" spans="2:14" x14ac:dyDescent="0.25">
      <c r="B29" s="22"/>
      <c r="C29" s="4" t="s">
        <v>17</v>
      </c>
      <c r="D29" s="7"/>
      <c r="E29" s="7"/>
      <c r="F29" s="4"/>
      <c r="G29" s="4"/>
      <c r="H29" s="4"/>
      <c r="I29" s="4"/>
      <c r="J29" s="4"/>
      <c r="K29" s="7">
        <f>D30/2</f>
        <v>275.05</v>
      </c>
      <c r="L29" s="7">
        <f>D30/2</f>
        <v>275.05</v>
      </c>
      <c r="M29" s="7"/>
      <c r="N29" s="7"/>
    </row>
    <row r="30" spans="2:14" x14ac:dyDescent="0.25">
      <c r="B30" s="22"/>
      <c r="C30" s="8" t="s">
        <v>32</v>
      </c>
      <c r="D30" s="7">
        <v>550.1</v>
      </c>
      <c r="E30" s="7"/>
      <c r="F30" s="4"/>
      <c r="G30" s="4"/>
      <c r="H30" s="4"/>
      <c r="I30" s="4"/>
      <c r="J30" s="4"/>
      <c r="K30" s="7"/>
      <c r="L30" s="7"/>
      <c r="M30" s="7"/>
      <c r="N30" s="7"/>
    </row>
    <row r="31" spans="2:14" x14ac:dyDescent="0.25">
      <c r="B31" s="22"/>
      <c r="C31" s="4" t="s">
        <v>18</v>
      </c>
      <c r="D31" s="7"/>
      <c r="E31" s="7"/>
      <c r="F31" s="4"/>
      <c r="G31" s="4"/>
      <c r="H31" s="4"/>
      <c r="I31" s="4"/>
      <c r="J31" s="4"/>
      <c r="K31" s="7">
        <f>D32</f>
        <v>6075.6</v>
      </c>
      <c r="L31" s="7">
        <f>D33</f>
        <v>6462.6</v>
      </c>
      <c r="M31" s="7"/>
      <c r="N31" s="7"/>
    </row>
    <row r="32" spans="2:14" x14ac:dyDescent="0.25">
      <c r="B32" s="22"/>
      <c r="C32" s="8" t="s">
        <v>30</v>
      </c>
      <c r="D32" s="7">
        <f>5801+274.6</f>
        <v>6075.6</v>
      </c>
      <c r="E32" s="7"/>
      <c r="F32" s="4"/>
      <c r="G32" s="4"/>
      <c r="H32" s="4"/>
      <c r="I32" s="4"/>
      <c r="J32" s="4"/>
      <c r="K32" s="7"/>
      <c r="L32" s="7"/>
      <c r="M32" s="7"/>
      <c r="N32" s="7"/>
    </row>
    <row r="33" spans="2:14" x14ac:dyDescent="0.25">
      <c r="B33" s="22"/>
      <c r="C33" s="8" t="s">
        <v>31</v>
      </c>
      <c r="D33" s="7">
        <f>6188+274.6</f>
        <v>6462.6</v>
      </c>
      <c r="E33" s="7">
        <f>SUM(D32:D33)</f>
        <v>12538.2</v>
      </c>
      <c r="F33" s="4"/>
      <c r="G33" s="4"/>
      <c r="H33" s="4"/>
      <c r="I33" s="4"/>
      <c r="J33" s="4"/>
      <c r="K33" s="7"/>
      <c r="L33" s="7"/>
      <c r="M33" s="7"/>
      <c r="N33" s="7"/>
    </row>
    <row r="34" spans="2:14" x14ac:dyDescent="0.25">
      <c r="B34" s="22"/>
      <c r="C34" s="4" t="s">
        <v>19</v>
      </c>
      <c r="D34" s="7"/>
      <c r="E34" s="7"/>
      <c r="F34" s="4"/>
      <c r="G34" s="4"/>
      <c r="H34" s="4"/>
      <c r="I34" s="4"/>
      <c r="J34" s="4"/>
      <c r="K34" s="7">
        <f>D36</f>
        <v>1003.4300000000001</v>
      </c>
      <c r="L34" s="7">
        <f>D37</f>
        <v>1364.9699999999998</v>
      </c>
      <c r="M34" s="7"/>
      <c r="N34" s="7">
        <f>D35</f>
        <v>386.09000000000003</v>
      </c>
    </row>
    <row r="35" spans="2:14" x14ac:dyDescent="0.25">
      <c r="B35" s="22"/>
      <c r="C35" s="8" t="s">
        <v>27</v>
      </c>
      <c r="D35" s="7">
        <f>345.8+40.29</f>
        <v>386.09000000000003</v>
      </c>
      <c r="E35" s="7"/>
      <c r="F35" s="4"/>
      <c r="G35" s="4"/>
      <c r="H35" s="4"/>
      <c r="I35" s="4"/>
      <c r="J35" s="4"/>
      <c r="K35" s="7"/>
      <c r="L35" s="7"/>
      <c r="M35" s="7"/>
      <c r="N35" s="7"/>
    </row>
    <row r="36" spans="2:14" x14ac:dyDescent="0.25">
      <c r="B36" s="22"/>
      <c r="C36" s="8" t="s">
        <v>28</v>
      </c>
      <c r="D36" s="7">
        <f>345.8+308.67*2+40.29</f>
        <v>1003.4300000000001</v>
      </c>
      <c r="E36" s="7"/>
      <c r="F36" s="4"/>
      <c r="G36" s="4"/>
      <c r="H36" s="4"/>
      <c r="I36" s="4"/>
      <c r="J36" s="4"/>
      <c r="K36" s="7"/>
      <c r="L36" s="7"/>
      <c r="M36" s="7"/>
      <c r="N36" s="7"/>
    </row>
    <row r="37" spans="2:14" x14ac:dyDescent="0.25">
      <c r="B37" s="22"/>
      <c r="C37" s="8" t="s">
        <v>29</v>
      </c>
      <c r="D37" s="7">
        <f>308.67+192.63+483+340.38+40.29</f>
        <v>1364.9699999999998</v>
      </c>
      <c r="E37" s="7">
        <v>2754.49</v>
      </c>
      <c r="F37" s="4"/>
      <c r="G37" s="4"/>
      <c r="H37" s="4"/>
      <c r="I37" s="4"/>
      <c r="J37" s="4"/>
      <c r="K37" s="7"/>
      <c r="L37" s="7"/>
      <c r="M37" s="7"/>
      <c r="N37" s="7"/>
    </row>
    <row r="38" spans="2:14" x14ac:dyDescent="0.25">
      <c r="B38" s="23">
        <v>43221</v>
      </c>
      <c r="C38" s="4" t="s">
        <v>20</v>
      </c>
      <c r="D38" s="7"/>
      <c r="E38" s="7"/>
      <c r="F38" s="4"/>
      <c r="G38" s="4"/>
      <c r="H38" s="4"/>
      <c r="I38" s="4"/>
      <c r="J38" s="4"/>
      <c r="K38" s="7">
        <f>D39/2</f>
        <v>135.36500000000001</v>
      </c>
      <c r="L38" s="7">
        <f>D39/2</f>
        <v>135.36500000000001</v>
      </c>
      <c r="M38" s="7"/>
      <c r="N38" s="7"/>
    </row>
    <row r="39" spans="2:14" x14ac:dyDescent="0.25">
      <c r="B39" s="23"/>
      <c r="C39" s="8" t="s">
        <v>87</v>
      </c>
      <c r="D39" s="7">
        <v>270.73</v>
      </c>
      <c r="E39" s="7"/>
      <c r="F39" s="4"/>
      <c r="G39" s="4"/>
      <c r="H39" s="4"/>
      <c r="I39" s="4"/>
      <c r="J39" s="4"/>
      <c r="K39" s="7"/>
      <c r="L39" s="7"/>
      <c r="M39" s="7"/>
      <c r="N39" s="7"/>
    </row>
    <row r="40" spans="2:14" x14ac:dyDescent="0.25">
      <c r="B40" s="24">
        <v>43586</v>
      </c>
      <c r="C40" s="4" t="s">
        <v>21</v>
      </c>
      <c r="D40" s="7"/>
      <c r="E40" s="7"/>
      <c r="F40" s="4"/>
      <c r="G40" s="4"/>
      <c r="H40" s="4"/>
      <c r="I40" s="4"/>
      <c r="J40" s="4"/>
      <c r="K40" s="7">
        <f>D41</f>
        <v>1129.3499999999999</v>
      </c>
      <c r="L40" s="7"/>
      <c r="M40" s="7"/>
      <c r="N40" s="7"/>
    </row>
    <row r="41" spans="2:14" x14ac:dyDescent="0.25">
      <c r="B41" s="24"/>
      <c r="C41" s="8" t="s">
        <v>88</v>
      </c>
      <c r="D41" s="7">
        <v>1129.3499999999999</v>
      </c>
      <c r="E41" s="7"/>
      <c r="F41" s="4"/>
      <c r="G41" s="4"/>
      <c r="H41" s="4"/>
      <c r="I41" s="4"/>
      <c r="J41" s="4"/>
      <c r="K41" s="7"/>
      <c r="L41" s="7"/>
      <c r="M41" s="7"/>
      <c r="N41" s="7"/>
    </row>
    <row r="42" spans="2:14" x14ac:dyDescent="0.25">
      <c r="B42" s="24"/>
      <c r="C42" s="4" t="s">
        <v>22</v>
      </c>
      <c r="D42" s="7"/>
      <c r="E42" s="7"/>
      <c r="F42" s="4"/>
      <c r="G42" s="4"/>
      <c r="H42" s="4"/>
      <c r="I42" s="4"/>
      <c r="J42" s="4"/>
      <c r="K42" s="7">
        <f>D44</f>
        <v>636.72</v>
      </c>
      <c r="L42" s="7">
        <f>D43</f>
        <v>980.92</v>
      </c>
      <c r="M42" s="7"/>
      <c r="N42" s="7">
        <f>D45</f>
        <v>78</v>
      </c>
    </row>
    <row r="43" spans="2:14" x14ac:dyDescent="0.25">
      <c r="B43" s="24"/>
      <c r="C43" s="8" t="s">
        <v>26</v>
      </c>
      <c r="D43" s="7">
        <v>980.92</v>
      </c>
      <c r="E43" s="7"/>
      <c r="F43" s="4"/>
      <c r="G43" s="4"/>
      <c r="H43" s="4"/>
      <c r="I43" s="4"/>
      <c r="J43" s="4"/>
      <c r="K43" s="7"/>
      <c r="L43" s="7"/>
      <c r="M43" s="7"/>
      <c r="N43" s="7"/>
    </row>
    <row r="44" spans="2:14" x14ac:dyDescent="0.25">
      <c r="B44" s="24"/>
      <c r="C44" s="8" t="s">
        <v>1</v>
      </c>
      <c r="D44" s="7">
        <v>636.72</v>
      </c>
      <c r="E44" s="7"/>
      <c r="F44" s="4"/>
      <c r="G44" s="4"/>
      <c r="H44" s="4"/>
      <c r="I44" s="4"/>
      <c r="J44" s="4"/>
      <c r="K44" s="7"/>
      <c r="L44" s="7"/>
      <c r="M44" s="7"/>
      <c r="N44" s="7"/>
    </row>
    <row r="45" spans="2:14" x14ac:dyDescent="0.25">
      <c r="B45" s="24"/>
      <c r="C45" s="8" t="s">
        <v>4</v>
      </c>
      <c r="D45" s="7">
        <v>78</v>
      </c>
      <c r="E45" s="7"/>
      <c r="F45" s="4"/>
      <c r="G45" s="4"/>
      <c r="H45" s="4"/>
      <c r="I45" s="4"/>
      <c r="J45" s="4"/>
      <c r="K45" s="7"/>
      <c r="L45" s="7"/>
      <c r="M45" s="7"/>
      <c r="N45" s="7"/>
    </row>
    <row r="46" spans="2:14" x14ac:dyDescent="0.25">
      <c r="B46" s="24"/>
      <c r="C46" s="4" t="s">
        <v>23</v>
      </c>
      <c r="D46" s="7"/>
      <c r="E46" s="7"/>
      <c r="F46" s="4"/>
      <c r="G46" s="4"/>
      <c r="H46" s="4"/>
      <c r="I46" s="4"/>
      <c r="J46" s="4"/>
      <c r="K46" s="7">
        <f>D47/2</f>
        <v>471.02</v>
      </c>
      <c r="L46" s="7">
        <f>D47/2</f>
        <v>471.02</v>
      </c>
      <c r="M46" s="7"/>
      <c r="N46" s="7"/>
    </row>
    <row r="47" spans="2:14" x14ac:dyDescent="0.25">
      <c r="B47" s="24"/>
      <c r="C47" s="8" t="s">
        <v>39</v>
      </c>
      <c r="D47" s="7">
        <v>942.04</v>
      </c>
      <c r="E47" s="7"/>
      <c r="F47" s="4"/>
      <c r="G47" s="4"/>
      <c r="H47" s="4"/>
      <c r="I47" s="4"/>
      <c r="J47" s="4"/>
      <c r="K47" s="7"/>
      <c r="L47" s="7"/>
      <c r="M47" s="7"/>
      <c r="N47" s="7"/>
    </row>
    <row r="48" spans="2:14" x14ac:dyDescent="0.25">
      <c r="B48" s="24"/>
      <c r="C48" s="4" t="s">
        <v>24</v>
      </c>
      <c r="D48" s="7"/>
      <c r="E48" s="7"/>
      <c r="F48" s="4"/>
      <c r="G48" s="4"/>
      <c r="H48" s="4"/>
      <c r="I48" s="4"/>
      <c r="J48" s="4"/>
      <c r="K48" s="7"/>
      <c r="L48" s="7"/>
      <c r="M48" s="7"/>
      <c r="N48" s="7"/>
    </row>
    <row r="49" spans="2:14" x14ac:dyDescent="0.25">
      <c r="B49" s="24"/>
      <c r="C49" s="8" t="s">
        <v>40</v>
      </c>
      <c r="D49" s="7">
        <f>243.64+11.055</f>
        <v>254.69499999999999</v>
      </c>
      <c r="E49" s="7"/>
      <c r="F49" s="4"/>
      <c r="G49" s="4"/>
      <c r="H49" s="4"/>
      <c r="I49" s="4"/>
      <c r="J49" s="4"/>
      <c r="K49" s="7">
        <f>D50</f>
        <v>262.42500000000001</v>
      </c>
      <c r="L49" s="7">
        <f>D49</f>
        <v>254.69499999999999</v>
      </c>
      <c r="M49" s="7">
        <f>D52</f>
        <v>262.42500000000001</v>
      </c>
      <c r="N49" s="7">
        <f>D51</f>
        <v>250.82500000000002</v>
      </c>
    </row>
    <row r="50" spans="2:14" x14ac:dyDescent="0.25">
      <c r="B50" s="24"/>
      <c r="C50" s="8" t="s">
        <v>42</v>
      </c>
      <c r="D50" s="7">
        <f>251.37+11.055</f>
        <v>262.42500000000001</v>
      </c>
      <c r="E50" s="7"/>
      <c r="F50" s="4"/>
      <c r="G50" s="4"/>
      <c r="H50" s="4"/>
      <c r="I50" s="4"/>
      <c r="J50" s="4"/>
      <c r="K50" s="7"/>
      <c r="L50" s="7"/>
      <c r="M50" s="7"/>
      <c r="N50" s="7"/>
    </row>
    <row r="51" spans="2:14" x14ac:dyDescent="0.25">
      <c r="B51" s="24"/>
      <c r="C51" s="8" t="s">
        <v>41</v>
      </c>
      <c r="D51" s="7">
        <f>239.77+11.055</f>
        <v>250.82500000000002</v>
      </c>
      <c r="E51" s="7"/>
      <c r="F51" s="4"/>
      <c r="G51" s="4"/>
      <c r="H51" s="4"/>
      <c r="I51" s="4"/>
      <c r="J51" s="4"/>
      <c r="K51" s="7"/>
      <c r="L51" s="7"/>
      <c r="M51" s="7"/>
      <c r="N51" s="7"/>
    </row>
    <row r="52" spans="2:14" x14ac:dyDescent="0.25">
      <c r="B52" s="24"/>
      <c r="C52" s="8" t="s">
        <v>43</v>
      </c>
      <c r="D52" s="7">
        <f>251.37+11.055</f>
        <v>262.42500000000001</v>
      </c>
      <c r="E52" s="7">
        <f>SUM(D49:D52)</f>
        <v>1030.3700000000001</v>
      </c>
      <c r="F52" s="4"/>
      <c r="G52" s="4"/>
      <c r="H52" s="4"/>
      <c r="I52" s="4"/>
      <c r="J52" s="4"/>
      <c r="K52" s="7"/>
      <c r="L52" s="7"/>
      <c r="M52" s="7"/>
      <c r="N52" s="7"/>
    </row>
    <row r="53" spans="2:14" x14ac:dyDescent="0.25">
      <c r="B53" s="24"/>
      <c r="C53" s="4" t="s">
        <v>25</v>
      </c>
      <c r="D53" s="7"/>
      <c r="E53" s="7"/>
      <c r="F53" s="4"/>
      <c r="G53" s="4"/>
      <c r="H53" s="4"/>
      <c r="I53" s="4"/>
      <c r="J53" s="4"/>
      <c r="K53" s="7">
        <f>D54</f>
        <v>197.99</v>
      </c>
      <c r="L53" s="7"/>
      <c r="M53" s="7"/>
      <c r="N53" s="7"/>
    </row>
    <row r="54" spans="2:14" x14ac:dyDescent="0.25">
      <c r="B54" s="24"/>
      <c r="C54" s="8" t="s">
        <v>44</v>
      </c>
      <c r="D54" s="7">
        <v>197.99</v>
      </c>
      <c r="E54" s="7"/>
      <c r="F54" s="4"/>
      <c r="G54" s="4"/>
      <c r="H54" s="4"/>
      <c r="I54" s="4"/>
      <c r="J54" s="4"/>
      <c r="K54" s="7"/>
      <c r="L54" s="7"/>
      <c r="M54" s="7"/>
      <c r="N54" s="7"/>
    </row>
    <row r="55" spans="2:14" x14ac:dyDescent="0.25">
      <c r="B55" s="24"/>
      <c r="C55" s="9" t="s">
        <v>45</v>
      </c>
      <c r="D55" s="7"/>
      <c r="E55" s="7"/>
      <c r="F55" s="4"/>
      <c r="G55" s="4"/>
      <c r="H55" s="4"/>
      <c r="I55" s="4"/>
      <c r="J55" s="4"/>
      <c r="K55" s="7">
        <f>D56</f>
        <v>6000.1</v>
      </c>
      <c r="L55" s="7">
        <f>D57</f>
        <v>6000.1</v>
      </c>
      <c r="M55" s="7"/>
      <c r="N55" s="7"/>
    </row>
    <row r="56" spans="2:14" x14ac:dyDescent="0.25">
      <c r="B56" s="24"/>
      <c r="C56" s="8" t="s">
        <v>2</v>
      </c>
      <c r="D56" s="7">
        <v>6000.1</v>
      </c>
      <c r="E56" s="7"/>
      <c r="F56" s="4"/>
      <c r="G56" s="4"/>
      <c r="H56" s="4"/>
      <c r="I56" s="4"/>
      <c r="J56" s="4"/>
      <c r="K56" s="7"/>
      <c r="L56" s="7"/>
      <c r="M56" s="7"/>
      <c r="N56" s="7"/>
    </row>
    <row r="57" spans="2:14" x14ac:dyDescent="0.25">
      <c r="B57" s="24"/>
      <c r="C57" s="8" t="s">
        <v>1</v>
      </c>
      <c r="D57" s="7">
        <v>6000.1</v>
      </c>
      <c r="E57" s="7">
        <v>12100.19</v>
      </c>
      <c r="F57" s="4"/>
      <c r="G57" s="4"/>
      <c r="H57" s="4"/>
      <c r="I57" s="4"/>
      <c r="J57" s="4"/>
      <c r="K57" s="7"/>
      <c r="L57" s="7"/>
      <c r="M57" s="7"/>
      <c r="N57" s="7"/>
    </row>
    <row r="58" spans="2:14" x14ac:dyDescent="0.25">
      <c r="B58" s="25">
        <v>43952</v>
      </c>
      <c r="C58" s="9" t="s">
        <v>49</v>
      </c>
      <c r="D58" s="7"/>
      <c r="E58" s="7"/>
      <c r="F58" s="4"/>
      <c r="G58" s="4"/>
      <c r="H58" s="4"/>
      <c r="I58" s="4"/>
      <c r="J58" s="4"/>
      <c r="K58" s="7">
        <f>D59</f>
        <v>726.02</v>
      </c>
      <c r="L58" s="7"/>
      <c r="M58" s="7"/>
      <c r="N58" s="7"/>
    </row>
    <row r="59" spans="2:14" x14ac:dyDescent="0.25">
      <c r="B59" s="25"/>
      <c r="C59" s="8" t="s">
        <v>48</v>
      </c>
      <c r="D59" s="7">
        <v>726.02</v>
      </c>
      <c r="E59" s="7"/>
      <c r="F59" s="4"/>
      <c r="G59" s="4"/>
      <c r="H59" s="4"/>
      <c r="I59" s="4"/>
      <c r="J59" s="4"/>
      <c r="K59" s="7"/>
      <c r="L59" s="7"/>
      <c r="M59" s="7"/>
      <c r="N59" s="7"/>
    </row>
    <row r="60" spans="2:14" x14ac:dyDescent="0.25">
      <c r="B60" s="25"/>
      <c r="C60" s="9" t="s">
        <v>49</v>
      </c>
      <c r="D60" s="7"/>
      <c r="E60" s="7"/>
      <c r="F60" s="4"/>
      <c r="G60" s="4"/>
      <c r="H60" s="4"/>
      <c r="I60" s="4"/>
      <c r="J60" s="4"/>
      <c r="K60" s="7">
        <f>D61/2</f>
        <v>806.68</v>
      </c>
      <c r="L60" s="7">
        <f>D61/2</f>
        <v>806.68</v>
      </c>
      <c r="M60" s="7"/>
      <c r="N60" s="7"/>
    </row>
    <row r="61" spans="2:14" x14ac:dyDescent="0.25">
      <c r="B61" s="25"/>
      <c r="C61" s="8" t="s">
        <v>50</v>
      </c>
      <c r="D61" s="7">
        <v>1613.36</v>
      </c>
      <c r="E61" s="7"/>
      <c r="F61" s="4"/>
      <c r="G61" s="4"/>
      <c r="H61" s="4"/>
      <c r="I61" s="4"/>
      <c r="J61" s="4"/>
      <c r="K61" s="7"/>
      <c r="L61" s="7"/>
      <c r="M61" s="7"/>
      <c r="N61" s="7"/>
    </row>
    <row r="62" spans="2:14" x14ac:dyDescent="0.25">
      <c r="B62" s="25"/>
      <c r="C62" s="9" t="s">
        <v>51</v>
      </c>
      <c r="D62" s="7"/>
      <c r="E62" s="7"/>
      <c r="F62" s="4"/>
      <c r="G62" s="4"/>
      <c r="H62" s="4"/>
      <c r="I62" s="4"/>
      <c r="J62" s="4"/>
      <c r="K62" s="7">
        <f>D64</f>
        <v>297.89999999999998</v>
      </c>
      <c r="L62" s="7">
        <f>D63</f>
        <v>274.89999999999998</v>
      </c>
      <c r="M62" s="7"/>
      <c r="N62" s="7"/>
    </row>
    <row r="63" spans="2:14" x14ac:dyDescent="0.25">
      <c r="B63" s="25"/>
      <c r="C63" s="8" t="s">
        <v>52</v>
      </c>
      <c r="D63" s="7">
        <f>263+11.9</f>
        <v>274.89999999999998</v>
      </c>
      <c r="E63" s="7"/>
      <c r="F63" s="4"/>
      <c r="G63" s="4"/>
      <c r="H63" s="4"/>
      <c r="I63" s="4"/>
      <c r="J63" s="4"/>
      <c r="K63" s="7"/>
      <c r="L63" s="7"/>
      <c r="M63" s="7"/>
      <c r="N63" s="7"/>
    </row>
    <row r="64" spans="2:14" x14ac:dyDescent="0.25">
      <c r="B64" s="25"/>
      <c r="C64" s="8" t="s">
        <v>53</v>
      </c>
      <c r="D64" s="7">
        <f>286+11.9</f>
        <v>297.89999999999998</v>
      </c>
      <c r="E64" s="7">
        <v>572.73</v>
      </c>
      <c r="F64" s="4"/>
      <c r="G64" s="4"/>
      <c r="H64" s="4"/>
      <c r="I64" s="4"/>
      <c r="J64" s="4"/>
      <c r="K64" s="7"/>
      <c r="L64" s="7"/>
      <c r="M64" s="7"/>
      <c r="N64" s="7"/>
    </row>
    <row r="65" spans="2:14" x14ac:dyDescent="0.25">
      <c r="B65" s="18">
        <v>44317</v>
      </c>
      <c r="C65" s="9" t="s">
        <v>54</v>
      </c>
      <c r="D65" s="7"/>
      <c r="E65" s="7"/>
      <c r="F65" s="4"/>
      <c r="G65" s="4"/>
      <c r="H65" s="4"/>
      <c r="I65" s="4"/>
      <c r="J65" s="4"/>
      <c r="K65" s="7">
        <f>D66</f>
        <v>2196.59</v>
      </c>
      <c r="L65" s="7"/>
      <c r="M65" s="7"/>
      <c r="N65" s="7"/>
    </row>
    <row r="66" spans="2:14" x14ac:dyDescent="0.25">
      <c r="B66" s="18"/>
      <c r="C66" s="8" t="s">
        <v>55</v>
      </c>
      <c r="D66" s="7">
        <v>2196.59</v>
      </c>
      <c r="E66" s="7"/>
      <c r="F66" s="4"/>
      <c r="G66" s="4"/>
      <c r="H66" s="4"/>
      <c r="I66" s="4"/>
      <c r="J66" s="4"/>
      <c r="K66" s="7"/>
      <c r="L66" s="7"/>
      <c r="M66" s="7"/>
      <c r="N66" s="7"/>
    </row>
    <row r="67" spans="2:14" x14ac:dyDescent="0.25">
      <c r="B67" s="18"/>
      <c r="C67" s="9" t="s">
        <v>10</v>
      </c>
      <c r="D67" s="7"/>
      <c r="E67" s="7"/>
      <c r="F67" s="4"/>
      <c r="G67" s="4"/>
      <c r="H67" s="4"/>
      <c r="I67" s="4"/>
      <c r="J67" s="4"/>
      <c r="K67" s="7">
        <f>D68/3</f>
        <v>4142.7699999999995</v>
      </c>
      <c r="L67" s="7">
        <f>D68/3</f>
        <v>4142.7699999999995</v>
      </c>
      <c r="M67" s="7">
        <f>D68/3</f>
        <v>4142.7699999999995</v>
      </c>
      <c r="N67" s="7"/>
    </row>
    <row r="68" spans="2:14" x14ac:dyDescent="0.25">
      <c r="B68" s="18"/>
      <c r="C68" s="8" t="s">
        <v>56</v>
      </c>
      <c r="D68" s="7">
        <v>12428.31</v>
      </c>
      <c r="E68" s="7"/>
      <c r="F68" s="4"/>
      <c r="G68" s="4"/>
      <c r="H68" s="4"/>
      <c r="I68" s="4"/>
      <c r="J68" s="4"/>
      <c r="K68" s="7"/>
      <c r="L68" s="7"/>
      <c r="M68" s="7"/>
      <c r="N68" s="7"/>
    </row>
    <row r="69" spans="2:14" x14ac:dyDescent="0.25">
      <c r="B69" s="19">
        <v>44682</v>
      </c>
      <c r="C69" s="9" t="s">
        <v>57</v>
      </c>
      <c r="D69" s="7"/>
      <c r="E69" s="7"/>
      <c r="F69" s="4"/>
      <c r="G69" s="4"/>
      <c r="H69" s="4"/>
      <c r="I69" s="4"/>
      <c r="J69" s="4"/>
      <c r="K69" s="7">
        <f>D71</f>
        <v>268.59000000000003</v>
      </c>
      <c r="L69" s="7">
        <f>D70</f>
        <v>280.95000000000005</v>
      </c>
      <c r="M69" s="7"/>
      <c r="N69" s="7"/>
    </row>
    <row r="70" spans="2:14" x14ac:dyDescent="0.25">
      <c r="B70" s="19"/>
      <c r="C70" s="8" t="s">
        <v>58</v>
      </c>
      <c r="D70" s="7">
        <f>246.11+34.84</f>
        <v>280.95000000000005</v>
      </c>
      <c r="E70" s="7"/>
      <c r="F70" s="4"/>
      <c r="G70" s="4"/>
      <c r="H70" s="4"/>
      <c r="I70" s="4"/>
      <c r="J70" s="4"/>
      <c r="K70" s="7"/>
      <c r="L70" s="7"/>
      <c r="M70" s="7"/>
      <c r="N70" s="7"/>
    </row>
    <row r="71" spans="2:14" x14ac:dyDescent="0.25">
      <c r="B71" s="19"/>
      <c r="C71" s="8" t="s">
        <v>59</v>
      </c>
      <c r="D71" s="7">
        <f>233.75+34.84</f>
        <v>268.59000000000003</v>
      </c>
      <c r="E71" s="7">
        <v>549.54</v>
      </c>
      <c r="F71" s="4"/>
      <c r="G71" s="4"/>
      <c r="H71" s="4"/>
      <c r="I71" s="4"/>
      <c r="J71" s="4"/>
      <c r="K71" s="7"/>
      <c r="L71" s="7"/>
      <c r="M71" s="7"/>
      <c r="N71" s="7"/>
    </row>
    <row r="72" spans="2:14" x14ac:dyDescent="0.25">
      <c r="B72" s="19"/>
      <c r="C72" s="9" t="s">
        <v>60</v>
      </c>
      <c r="D72" s="7"/>
      <c r="E72" s="7"/>
      <c r="F72" s="4"/>
      <c r="G72" s="4"/>
      <c r="H72" s="4"/>
      <c r="I72" s="4"/>
      <c r="J72" s="4"/>
      <c r="K72" s="7">
        <f>D73</f>
        <v>708.05</v>
      </c>
      <c r="L72" s="7">
        <f>D74</f>
        <v>531.04</v>
      </c>
      <c r="M72" s="7"/>
      <c r="N72" s="7"/>
    </row>
    <row r="73" spans="2:14" x14ac:dyDescent="0.25">
      <c r="B73" s="19"/>
      <c r="C73" s="8" t="s">
        <v>61</v>
      </c>
      <c r="D73" s="7">
        <v>708.05</v>
      </c>
      <c r="E73" s="7"/>
      <c r="F73" s="4"/>
      <c r="G73" s="4"/>
      <c r="H73" s="4"/>
      <c r="I73" s="4"/>
      <c r="J73" s="4"/>
      <c r="K73" s="7"/>
      <c r="L73" s="7"/>
      <c r="M73" s="7"/>
      <c r="N73" s="7"/>
    </row>
    <row r="74" spans="2:14" x14ac:dyDescent="0.25">
      <c r="B74" s="19"/>
      <c r="C74" s="8" t="s">
        <v>62</v>
      </c>
      <c r="D74" s="7">
        <v>531.04</v>
      </c>
      <c r="E74" s="7">
        <f>SUM(D73:D74)</f>
        <v>1239.0899999999999</v>
      </c>
      <c r="F74" s="4"/>
      <c r="G74" s="4"/>
      <c r="H74" s="4"/>
      <c r="I74" s="4"/>
      <c r="J74" s="4"/>
      <c r="K74" s="7"/>
      <c r="L74" s="7"/>
      <c r="M74" s="7"/>
      <c r="N74" s="7"/>
    </row>
    <row r="75" spans="2:14" x14ac:dyDescent="0.25">
      <c r="B75" s="19"/>
      <c r="C75" s="8" t="s">
        <v>63</v>
      </c>
      <c r="D75" s="7"/>
      <c r="E75" s="7"/>
      <c r="F75" s="4"/>
      <c r="G75" s="4"/>
      <c r="H75" s="4"/>
      <c r="I75" s="4"/>
      <c r="J75" s="4"/>
      <c r="K75" s="7">
        <f>D76/2</f>
        <v>80.265000000000001</v>
      </c>
      <c r="L75" s="7">
        <f>D76/2</f>
        <v>80.265000000000001</v>
      </c>
      <c r="M75" s="7"/>
      <c r="N75" s="7"/>
    </row>
    <row r="76" spans="2:14" x14ac:dyDescent="0.25">
      <c r="B76" s="19"/>
      <c r="C76" s="8" t="s">
        <v>64</v>
      </c>
      <c r="D76" s="7">
        <v>160.53</v>
      </c>
      <c r="E76" s="7">
        <f>D76</f>
        <v>160.53</v>
      </c>
      <c r="F76" s="4"/>
      <c r="G76" s="4"/>
      <c r="H76" s="4"/>
      <c r="I76" s="4"/>
      <c r="J76" s="4"/>
      <c r="K76" s="7"/>
      <c r="L76" s="7"/>
      <c r="M76" s="7"/>
      <c r="N76" s="7"/>
    </row>
    <row r="77" spans="2:14" x14ac:dyDescent="0.25">
      <c r="B77" s="19"/>
      <c r="C77" s="9" t="s">
        <v>65</v>
      </c>
      <c r="D77" s="7"/>
      <c r="E77" s="7"/>
      <c r="F77" s="4"/>
      <c r="G77" s="4"/>
      <c r="H77" s="4"/>
      <c r="I77" s="4"/>
      <c r="J77" s="4"/>
      <c r="K77" s="7">
        <f>D78</f>
        <v>3228.74</v>
      </c>
      <c r="L77" s="7"/>
      <c r="M77" s="7"/>
      <c r="N77" s="7"/>
    </row>
    <row r="78" spans="2:14" x14ac:dyDescent="0.25">
      <c r="B78" s="19"/>
      <c r="C78" s="8" t="s">
        <v>66</v>
      </c>
      <c r="D78" s="7">
        <v>3228.74</v>
      </c>
      <c r="E78" s="7">
        <f>D78</f>
        <v>3228.74</v>
      </c>
      <c r="F78" s="4"/>
      <c r="G78" s="4"/>
      <c r="H78" s="4"/>
      <c r="I78" s="4"/>
      <c r="J78" s="4"/>
      <c r="K78" s="7"/>
      <c r="L78" s="7"/>
      <c r="M78" s="7"/>
      <c r="N78" s="7"/>
    </row>
    <row r="79" spans="2:14" x14ac:dyDescent="0.25">
      <c r="B79" s="20">
        <v>45047</v>
      </c>
      <c r="C79" s="9" t="s">
        <v>67</v>
      </c>
      <c r="D79" s="7"/>
      <c r="E79" s="7"/>
      <c r="F79" s="4"/>
      <c r="G79" s="4"/>
      <c r="H79" s="4"/>
      <c r="I79" s="4"/>
      <c r="J79" s="4"/>
      <c r="K79" s="7">
        <f>SUM(D80,(D82/2))</f>
        <v>3937.6000000000004</v>
      </c>
      <c r="L79" s="7">
        <f>SUM(D81,(D82/2))</f>
        <v>2197.6</v>
      </c>
      <c r="M79" s="7"/>
      <c r="N79" s="7"/>
    </row>
    <row r="80" spans="2:14" x14ac:dyDescent="0.25">
      <c r="B80" s="20"/>
      <c r="C80" s="8" t="s">
        <v>68</v>
      </c>
      <c r="D80" s="7">
        <f>2460-18.6</f>
        <v>2441.4</v>
      </c>
      <c r="E80" s="7"/>
      <c r="F80" s="4"/>
      <c r="G80" s="4"/>
      <c r="H80" s="4"/>
      <c r="I80" s="4"/>
      <c r="J80" s="4"/>
      <c r="K80" s="7"/>
      <c r="L80" s="7"/>
      <c r="M80" s="7"/>
      <c r="N80" s="7"/>
    </row>
    <row r="81" spans="2:14" x14ac:dyDescent="0.25">
      <c r="B81" s="20"/>
      <c r="C81" s="8" t="s">
        <v>69</v>
      </c>
      <c r="D81" s="7">
        <f>720-18.6</f>
        <v>701.4</v>
      </c>
      <c r="E81" s="7"/>
      <c r="F81" s="4"/>
      <c r="G81" s="4"/>
      <c r="H81" s="4"/>
      <c r="I81" s="4"/>
      <c r="J81" s="4"/>
      <c r="K81" s="7"/>
      <c r="L81" s="7"/>
      <c r="M81" s="7"/>
      <c r="N81" s="7"/>
    </row>
    <row r="82" spans="2:14" x14ac:dyDescent="0.25">
      <c r="B82" s="20"/>
      <c r="C82" s="8" t="s">
        <v>70</v>
      </c>
      <c r="D82" s="7">
        <f>3011-18.6</f>
        <v>2992.4</v>
      </c>
      <c r="E82" s="7">
        <f>SUM(D80:D82)</f>
        <v>6135.2000000000007</v>
      </c>
      <c r="F82" s="4"/>
      <c r="G82" s="4"/>
      <c r="H82" s="4"/>
      <c r="I82" s="4"/>
      <c r="J82" s="4"/>
      <c r="K82" s="7"/>
      <c r="L82" s="7"/>
      <c r="M82" s="7"/>
      <c r="N82" s="7"/>
    </row>
    <row r="83" spans="2:14" x14ac:dyDescent="0.25">
      <c r="B83" s="20"/>
      <c r="C83" s="4"/>
      <c r="D83" s="7"/>
      <c r="E83" s="7"/>
      <c r="F83" s="4"/>
      <c r="G83" s="4"/>
      <c r="H83" s="4"/>
      <c r="I83" s="4"/>
      <c r="J83" s="4"/>
      <c r="K83" s="7"/>
      <c r="L83" s="7"/>
      <c r="M83" s="7"/>
      <c r="N83" s="7"/>
    </row>
    <row r="84" spans="2:14" x14ac:dyDescent="0.25">
      <c r="B84" s="20"/>
      <c r="C84" s="9" t="s">
        <v>71</v>
      </c>
      <c r="D84" s="7"/>
      <c r="E84" s="7"/>
      <c r="F84" s="4"/>
      <c r="G84" s="4"/>
      <c r="H84" s="4"/>
      <c r="I84" s="4"/>
      <c r="J84" s="4"/>
      <c r="K84" s="7">
        <f>D85/2</f>
        <v>273.56</v>
      </c>
      <c r="L84" s="7">
        <f>D85/2</f>
        <v>273.56</v>
      </c>
      <c r="M84" s="7"/>
      <c r="N84" s="7"/>
    </row>
    <row r="85" spans="2:14" x14ac:dyDescent="0.25">
      <c r="B85" s="20"/>
      <c r="C85" s="8" t="s">
        <v>32</v>
      </c>
      <c r="D85" s="7">
        <v>547.12</v>
      </c>
      <c r="E85" s="7">
        <f>D85</f>
        <v>547.12</v>
      </c>
      <c r="F85" s="4"/>
      <c r="G85" s="4"/>
      <c r="H85" s="4"/>
      <c r="I85" s="4"/>
      <c r="J85" s="4"/>
      <c r="K85" s="7"/>
      <c r="L85" s="7"/>
      <c r="M85" s="7"/>
      <c r="N85" s="7"/>
    </row>
    <row r="86" spans="2:14" x14ac:dyDescent="0.25">
      <c r="B86" s="20"/>
      <c r="C86" s="9" t="s">
        <v>72</v>
      </c>
      <c r="D86" s="7"/>
      <c r="E86" s="7"/>
      <c r="F86" s="4"/>
      <c r="G86" s="4"/>
      <c r="H86" s="4"/>
      <c r="I86" s="4"/>
      <c r="J86" s="4"/>
      <c r="K86" s="7">
        <f>D87/2</f>
        <v>172</v>
      </c>
      <c r="L86" s="7">
        <f>D87/2</f>
        <v>172</v>
      </c>
      <c r="M86" s="7"/>
      <c r="N86" s="7"/>
    </row>
    <row r="87" spans="2:14" x14ac:dyDescent="0.25">
      <c r="B87" s="20"/>
      <c r="C87" s="8" t="s">
        <v>32</v>
      </c>
      <c r="D87" s="7">
        <v>344</v>
      </c>
      <c r="E87" s="7">
        <f>D87</f>
        <v>344</v>
      </c>
      <c r="F87" s="4"/>
      <c r="G87" s="4"/>
      <c r="H87" s="4"/>
      <c r="I87" s="4"/>
      <c r="J87" s="4"/>
      <c r="K87" s="7"/>
      <c r="L87" s="7"/>
      <c r="M87" s="7"/>
      <c r="N87" s="7"/>
    </row>
    <row r="88" spans="2:14" x14ac:dyDescent="0.25">
      <c r="B88" s="20"/>
      <c r="C88" s="4" t="s">
        <v>73</v>
      </c>
      <c r="D88" s="7"/>
      <c r="E88" s="7"/>
      <c r="F88" s="4"/>
      <c r="G88" s="4"/>
      <c r="H88" s="4"/>
      <c r="I88" s="4"/>
      <c r="J88" s="4"/>
      <c r="K88" s="7">
        <f>D90</f>
        <v>259</v>
      </c>
      <c r="L88" s="7">
        <f>D89</f>
        <v>217</v>
      </c>
      <c r="M88" s="7"/>
      <c r="N88" s="7"/>
    </row>
    <row r="89" spans="2:14" x14ac:dyDescent="0.25">
      <c r="B89" s="20"/>
      <c r="C89" s="8" t="s">
        <v>69</v>
      </c>
      <c r="D89" s="7">
        <v>217</v>
      </c>
      <c r="E89" s="7"/>
      <c r="F89" s="4"/>
      <c r="G89" s="4"/>
      <c r="H89" s="4"/>
      <c r="I89" s="4"/>
      <c r="J89" s="4"/>
      <c r="K89" s="7"/>
      <c r="L89" s="7"/>
      <c r="M89" s="7"/>
      <c r="N89" s="7"/>
    </row>
    <row r="90" spans="2:14" x14ac:dyDescent="0.25">
      <c r="B90" s="20"/>
      <c r="C90" s="8" t="s">
        <v>74</v>
      </c>
      <c r="D90" s="7">
        <v>259</v>
      </c>
      <c r="E90" s="7">
        <f>SUM(D89:D90)</f>
        <v>476</v>
      </c>
      <c r="F90" s="4"/>
      <c r="G90" s="4"/>
      <c r="H90" s="4"/>
      <c r="I90" s="4"/>
      <c r="J90" s="4"/>
      <c r="K90" s="7"/>
      <c r="L90" s="7"/>
      <c r="M90" s="7"/>
      <c r="N90" s="7"/>
    </row>
    <row r="91" spans="2:14" x14ac:dyDescent="0.25">
      <c r="B91" s="28" t="s">
        <v>81</v>
      </c>
      <c r="C91" s="9" t="s">
        <v>82</v>
      </c>
      <c r="D91" s="7"/>
      <c r="E91" s="7">
        <f>D92</f>
        <v>2774</v>
      </c>
      <c r="F91" s="4"/>
      <c r="G91" s="4"/>
      <c r="H91" s="4"/>
      <c r="I91" s="4"/>
      <c r="J91" s="4"/>
      <c r="K91" s="7">
        <f>D92</f>
        <v>2774</v>
      </c>
      <c r="L91" s="7">
        <f>D92</f>
        <v>2774</v>
      </c>
      <c r="M91" s="7"/>
      <c r="N91" s="7"/>
    </row>
    <row r="92" spans="2:14" x14ac:dyDescent="0.25">
      <c r="B92" s="29"/>
      <c r="C92" s="8" t="s">
        <v>83</v>
      </c>
      <c r="D92" s="7">
        <v>2774</v>
      </c>
      <c r="E92" s="7"/>
      <c r="F92" s="4"/>
      <c r="G92" s="4"/>
      <c r="H92" s="4"/>
      <c r="I92" s="4"/>
      <c r="J92" s="4"/>
      <c r="K92" s="7"/>
      <c r="L92" s="7"/>
      <c r="M92" s="7"/>
      <c r="N92" s="7"/>
    </row>
    <row r="93" spans="2:14" x14ac:dyDescent="0.25">
      <c r="B93" s="29"/>
      <c r="C93" s="9" t="s">
        <v>84</v>
      </c>
      <c r="D93" s="7"/>
      <c r="E93" s="7">
        <f>D94</f>
        <v>5891</v>
      </c>
      <c r="F93" s="4"/>
      <c r="G93" s="4"/>
      <c r="H93" s="4"/>
      <c r="I93" s="4"/>
      <c r="J93" s="4"/>
      <c r="K93" s="7">
        <f>D94</f>
        <v>5891</v>
      </c>
      <c r="L93" s="7">
        <f>D94</f>
        <v>5891</v>
      </c>
      <c r="M93" s="7"/>
      <c r="N93" s="7"/>
    </row>
    <row r="94" spans="2:14" x14ac:dyDescent="0.25">
      <c r="B94" s="29"/>
      <c r="C94" s="8" t="s">
        <v>83</v>
      </c>
      <c r="D94" s="7">
        <v>5891</v>
      </c>
      <c r="E94" s="7"/>
      <c r="F94" s="4"/>
      <c r="G94" s="4"/>
      <c r="H94" s="4"/>
      <c r="I94" s="4"/>
      <c r="J94" s="4"/>
      <c r="K94" s="7"/>
      <c r="L94" s="7"/>
      <c r="M94" s="7"/>
      <c r="N94" s="7"/>
    </row>
    <row r="95" spans="2:14" x14ac:dyDescent="0.25">
      <c r="B95" s="29"/>
      <c r="C95" s="9" t="s">
        <v>85</v>
      </c>
      <c r="D95" s="7"/>
      <c r="E95" s="7">
        <f>D96</f>
        <v>5893</v>
      </c>
      <c r="F95" s="4"/>
      <c r="G95" s="4"/>
      <c r="H95" s="4"/>
      <c r="I95" s="4"/>
      <c r="J95" s="4"/>
      <c r="K95" s="7">
        <f>D96</f>
        <v>5893</v>
      </c>
      <c r="L95" s="7">
        <f>D96</f>
        <v>5893</v>
      </c>
      <c r="M95" s="7"/>
      <c r="N95" s="7"/>
    </row>
    <row r="96" spans="2:14" x14ac:dyDescent="0.25">
      <c r="B96" s="29"/>
      <c r="C96" s="8" t="s">
        <v>83</v>
      </c>
      <c r="D96" s="7">
        <v>5893</v>
      </c>
      <c r="E96" s="7"/>
      <c r="F96" s="4"/>
      <c r="G96" s="4"/>
      <c r="H96" s="4"/>
      <c r="I96" s="4"/>
      <c r="J96" s="4"/>
      <c r="K96" s="7"/>
      <c r="L96" s="7"/>
      <c r="M96" s="7"/>
      <c r="N96" s="7"/>
    </row>
    <row r="97" spans="2:14" x14ac:dyDescent="0.25">
      <c r="B97" s="29"/>
      <c r="C97" s="26" t="s">
        <v>90</v>
      </c>
      <c r="D97" s="7">
        <v>1886</v>
      </c>
      <c r="E97" s="7"/>
      <c r="F97" s="4"/>
      <c r="G97" s="4"/>
      <c r="H97" s="4"/>
      <c r="I97" s="4"/>
      <c r="J97" s="4"/>
      <c r="K97" s="7">
        <f>D97/2</f>
        <v>943</v>
      </c>
      <c r="L97" s="7">
        <f>D97/2</f>
        <v>943</v>
      </c>
      <c r="M97" s="7"/>
      <c r="N97" s="7"/>
    </row>
    <row r="98" spans="2:14" x14ac:dyDescent="0.25">
      <c r="B98" s="29"/>
      <c r="C98" s="26" t="s">
        <v>91</v>
      </c>
      <c r="D98" s="27">
        <v>670</v>
      </c>
      <c r="E98" s="7"/>
      <c r="F98" s="4"/>
      <c r="G98" s="4"/>
      <c r="H98" s="4"/>
      <c r="I98" s="4"/>
      <c r="J98" s="4"/>
      <c r="K98" s="7">
        <f>D98/2</f>
        <v>335</v>
      </c>
      <c r="L98" s="7">
        <f>D98/2</f>
        <v>335</v>
      </c>
      <c r="M98" s="7"/>
      <c r="N98" s="7"/>
    </row>
    <row r="99" spans="2:14" x14ac:dyDescent="0.25">
      <c r="B99" s="29"/>
      <c r="C99" s="26" t="s">
        <v>92</v>
      </c>
      <c r="D99" s="27">
        <v>580</v>
      </c>
      <c r="E99" s="7"/>
      <c r="F99" s="4"/>
      <c r="G99" s="4"/>
      <c r="H99" s="4"/>
      <c r="I99" s="4"/>
      <c r="J99" s="4"/>
      <c r="K99" s="7">
        <f>D99/4</f>
        <v>145</v>
      </c>
      <c r="L99" s="7">
        <f>D99/4</f>
        <v>145</v>
      </c>
      <c r="M99" s="7">
        <f>D99/4</f>
        <v>145</v>
      </c>
      <c r="N99" s="7">
        <f>D99/4</f>
        <v>145</v>
      </c>
    </row>
    <row r="100" spans="2:14" x14ac:dyDescent="0.25">
      <c r="B100" s="30"/>
      <c r="C100" s="4" t="s">
        <v>93</v>
      </c>
      <c r="D100" s="7">
        <f>4490*2</f>
        <v>8980</v>
      </c>
      <c r="E100" s="7"/>
      <c r="F100" s="4"/>
      <c r="G100" s="4"/>
      <c r="H100" s="4"/>
      <c r="I100" s="4"/>
      <c r="J100" s="4"/>
      <c r="K100" s="7">
        <f>D100/2</f>
        <v>4490</v>
      </c>
      <c r="L100" s="7">
        <f>D100/2</f>
        <v>4490</v>
      </c>
      <c r="M100" s="7"/>
      <c r="N100" s="7"/>
    </row>
  </sheetData>
  <mergeCells count="12">
    <mergeCell ref="S8:S9"/>
    <mergeCell ref="S10:W10"/>
    <mergeCell ref="S13:W13"/>
    <mergeCell ref="B65:B68"/>
    <mergeCell ref="B69:B78"/>
    <mergeCell ref="B79:B90"/>
    <mergeCell ref="B2:B13"/>
    <mergeCell ref="B14:B37"/>
    <mergeCell ref="B38:B39"/>
    <mergeCell ref="B40:B57"/>
    <mergeCell ref="B58:B64"/>
    <mergeCell ref="B91:B100"/>
  </mergeCells>
  <pageMargins left="0.7" right="0.7" top="0.75" bottom="0.75" header="0.3" footer="0.3"/>
  <headerFooter>
    <oddHeader>&amp;R&amp;"Aptos"&amp;12&amp;KFF8C00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Japan 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Jester Reguyal</dc:creator>
  <cp:lastModifiedBy>Jon Jester REGUYAL</cp:lastModifiedBy>
  <dcterms:created xsi:type="dcterms:W3CDTF">2026-05-26T08:13:49Z</dcterms:created>
  <dcterms:modified xsi:type="dcterms:W3CDTF">2026-05-28T01:21:11Z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db9220-a04a-4f06-aab9-80cbe5287fb3_Enabled">
    <vt:lpwstr>true</vt:lpwstr>
  </property>
  <property fmtid="{D5CDD505-2E9C-101B-9397-08002B2CF9AE}" pid="3" name="MSIP_Label_d2db9220-a04a-4f06-aab9-80cbe5287fb3_SetDate">
    <vt:lpwstr>2026-05-27T06:18:52Z</vt:lpwstr>
  </property>
  <property fmtid="{D5CDD505-2E9C-101B-9397-08002B2CF9AE}" pid="4" name="MSIP_Label_d2db9220-a04a-4f06-aab9-80cbe5287fb3_Method">
    <vt:lpwstr>Standard</vt:lpwstr>
  </property>
  <property fmtid="{D5CDD505-2E9C-101B-9397-08002B2CF9AE}" pid="5" name="MSIP_Label_d2db9220-a04a-4f06-aab9-80cbe5287fb3_Name">
    <vt:lpwstr>d2db9220-a04a-4f06-aab9-80cbe5287fb3</vt:lpwstr>
  </property>
  <property fmtid="{D5CDD505-2E9C-101B-9397-08002B2CF9AE}" pid="6" name="MSIP_Label_d2db9220-a04a-4f06-aab9-80cbe5287fb3_SiteId">
    <vt:lpwstr>b3f4f7c2-72ce-4192-aba4-d6c7719b5766</vt:lpwstr>
  </property>
  <property fmtid="{D5CDD505-2E9C-101B-9397-08002B2CF9AE}" pid="7" name="MSIP_Label_d2db9220-a04a-4f06-aab9-80cbe5287fb3_ActionId">
    <vt:lpwstr>a6843754-e758-4e9f-8256-b4549b770f8e</vt:lpwstr>
  </property>
  <property fmtid="{D5CDD505-2E9C-101B-9397-08002B2CF9AE}" pid="8" name="MSIP_Label_d2db9220-a04a-4f06-aab9-80cbe5287fb3_ContentBits">
    <vt:lpwstr>1</vt:lpwstr>
  </property>
  <property fmtid="{D5CDD505-2E9C-101B-9397-08002B2CF9AE}" pid="9" name="MSIP_Label_d2db9220-a04a-4f06-aab9-80cbe5287fb3_Tag">
    <vt:lpwstr>10, 3, 0, 1</vt:lpwstr>
  </property>
</Properties>
</file>